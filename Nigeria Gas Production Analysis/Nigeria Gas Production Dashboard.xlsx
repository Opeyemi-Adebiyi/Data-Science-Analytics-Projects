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2.xml" ContentType="application/vnd.openxmlformats-officedocument.drawing+xml"/>
  <Override PartName="/xl/slicers/slicer2.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hidePivotFieldList="1"/>
  <mc:AlternateContent xmlns:mc="http://schemas.openxmlformats.org/markup-compatibility/2006">
    <mc:Choice Requires="x15">
      <x15ac:absPath xmlns:x15ac="http://schemas.microsoft.com/office/spreadsheetml/2010/11/ac" url="C:\Users\NCC\Desktop\Dr.Aminu Excel Assignment\"/>
    </mc:Choice>
  </mc:AlternateContent>
  <xr:revisionPtr revIDLastSave="0" documentId="13_ncr:10000001_{21330D81-8A62-4DB8-B47C-E4445389F51C}" xr6:coauthVersionLast="47" xr6:coauthVersionMax="47" xr10:uidLastSave="{00000000-0000-0000-0000-000000000000}"/>
  <bookViews>
    <workbookView xWindow="-108" yWindow="-108" windowWidth="23256" windowHeight="12576" activeTab="2" xr2:uid="{00000000-000D-0000-FFFF-FFFF00000000}"/>
  </bookViews>
  <sheets>
    <sheet name="Gas Data" sheetId="1" r:id="rId1"/>
    <sheet name="Exploratory Data Analysis" sheetId="3" state="hidden" r:id="rId2"/>
    <sheet name="Gas Production Dashboard" sheetId="5" r:id="rId3"/>
  </sheets>
  <definedNames>
    <definedName name="_xlnm._FilterDatabase" localSheetId="0" hidden="1">'Gas Data'!#REF!</definedName>
    <definedName name="Slicer_Years__Date">#N/A</definedName>
  </definedNames>
  <calcPr calcId="181029"/>
  <pivotCaches>
    <pivotCache cacheId="0" r:id="rId4"/>
  </pivotCaches>
  <fileRecoveryPr repairLoad="1"/>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Lst>
</workbook>
</file>

<file path=xl/calcChain.xml><?xml version="1.0" encoding="utf-8"?>
<calcChain xmlns="http://schemas.openxmlformats.org/spreadsheetml/2006/main">
  <c r="AW9" i="3" l="1"/>
  <c r="AT9" i="3"/>
  <c r="AQ9" i="3"/>
  <c r="AM11" i="3"/>
</calcChain>
</file>

<file path=xl/sharedStrings.xml><?xml version="1.0" encoding="utf-8"?>
<sst xmlns="http://schemas.openxmlformats.org/spreadsheetml/2006/main" count="97" uniqueCount="31">
  <si>
    <t>Date</t>
  </si>
  <si>
    <t>AG Production</t>
  </si>
  <si>
    <t>NAG Production</t>
  </si>
  <si>
    <t>Total Gas Production</t>
  </si>
  <si>
    <t>Field Use</t>
  </si>
  <si>
    <t>Domestic Sales</t>
  </si>
  <si>
    <t>Export Sales</t>
  </si>
  <si>
    <t>Total Gas Utilized</t>
  </si>
  <si>
    <t>% Utilized</t>
  </si>
  <si>
    <t>Total Gas Flared</t>
  </si>
  <si>
    <t>% Flared</t>
  </si>
  <si>
    <t>Gas Shrinkage</t>
  </si>
  <si>
    <t>Row Labels</t>
  </si>
  <si>
    <t>Grand Total</t>
  </si>
  <si>
    <t>2021</t>
  </si>
  <si>
    <t>2022</t>
  </si>
  <si>
    <t>2023</t>
  </si>
  <si>
    <t>2024</t>
  </si>
  <si>
    <t>2025</t>
  </si>
  <si>
    <t>Sum of Total Gas Production</t>
  </si>
  <si>
    <t>Associated Gas</t>
  </si>
  <si>
    <t>Non-Associated Gas</t>
  </si>
  <si>
    <t>Field Usage</t>
  </si>
  <si>
    <t>Domestic Sale</t>
  </si>
  <si>
    <t>Sum of Total Gas Utilized</t>
  </si>
  <si>
    <t>Sum of Total Gas Flared</t>
  </si>
  <si>
    <t>Domestic Gas Sales</t>
  </si>
  <si>
    <t>Exported Gas Sales</t>
  </si>
  <si>
    <t>Nigeria Gas Production Dashboard (2021 - 2025)</t>
  </si>
  <si>
    <t>Exported Sale</t>
  </si>
  <si>
    <t>Sum of Gas Shrinkage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</si>
</sst>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_-* #,##0_-;\-* #,##0_-;_-* &quot;-&quot;??_-;_-@_-"/>
  </numFmts>
  <fonts count="5" x14ac:knownFonts="1">
    <font>
      <sz val="11"/>
      <color theme="1"/>
      <name val="Calibri"/>
      <family val="2"/>
      <scheme val="minor"/>
    </font>
    <font>
      <b/>
      <sz val="11"/>
      <name val="Calibri"/>
      <family val="2"/>
    </font>
    <font>
      <b/>
      <sz val="11"/>
      <color theme="1"/>
      <name val="Calibri"/>
      <family val="2"/>
      <scheme val="minor"/>
    </font>
    <font>
      <sz val="11"/>
      <color theme="1"/>
      <name val="Calibri"/>
      <family val="2"/>
      <scheme val="minor"/>
    </font>
    <font>
      <sz val="48"/>
      <color theme="1"/>
      <name val="Arial Rounded MT Bold"/>
      <family val="2"/>
    </font>
  </fonts>
  <fills count="5">
    <fill>
      <patternFill patternType="none"/>
    </fill>
    <fill>
      <patternFill patternType="gray125"/>
    </fill>
    <fill>
      <patternFill patternType="solid">
        <fgColor theme="4" tint="0.79998168889431442"/>
        <bgColor theme="4" tint="0.79998168889431442"/>
      </patternFill>
    </fill>
    <fill>
      <patternFill patternType="solid">
        <fgColor theme="7" tint="0.59999389629810485"/>
        <bgColor indexed="65"/>
      </patternFill>
    </fill>
    <fill>
      <patternFill patternType="solid">
        <fgColor theme="7" tint="0.79998168889431442"/>
        <bgColor indexed="64"/>
      </patternFill>
    </fill>
  </fills>
  <borders count="3">
    <border>
      <left/>
      <right/>
      <top/>
      <bottom/>
      <diagonal/>
    </border>
    <border>
      <left/>
      <right/>
      <top/>
      <bottom style="thin">
        <color theme="4" tint="0.39997558519241921"/>
      </bottom>
      <diagonal/>
    </border>
    <border>
      <left style="thin">
        <color auto="1"/>
      </left>
      <right style="thin">
        <color auto="1"/>
      </right>
      <top/>
      <bottom style="thin">
        <color auto="1"/>
      </bottom>
      <diagonal/>
    </border>
  </borders>
  <cellStyleXfs count="3">
    <xf numFmtId="0" fontId="0" fillId="0" borderId="0"/>
    <xf numFmtId="0" fontId="3" fillId="3" borderId="0" applyNumberFormat="0" applyBorder="0" applyAlignment="0" applyProtection="0"/>
    <xf numFmtId="43" fontId="3" fillId="0" borderId="0" applyFont="0" applyFill="0" applyBorder="0" applyAlignment="0" applyProtection="0"/>
  </cellStyleXfs>
  <cellXfs count="15">
    <xf numFmtId="0" fontId="0" fillId="0" borderId="0" xfId="0"/>
    <xf numFmtId="14" fontId="0" fillId="0" borderId="0" xfId="0" applyNumberFormat="1"/>
    <xf numFmtId="2" fontId="0" fillId="0" borderId="0" xfId="0" applyNumberFormat="1"/>
    <xf numFmtId="10" fontId="0" fillId="0" borderId="0" xfId="0" applyNumberFormat="1"/>
    <xf numFmtId="0" fontId="0" fillId="0" borderId="0" xfId="0" pivotButton="1"/>
    <xf numFmtId="0" fontId="0" fillId="0" borderId="0" xfId="0" applyAlignment="1">
      <alignment horizontal="left"/>
    </xf>
    <xf numFmtId="0" fontId="2" fillId="2" borderId="1" xfId="0" applyFont="1" applyFill="1" applyBorder="1"/>
    <xf numFmtId="0" fontId="2" fillId="0" borderId="1" xfId="0" applyFont="1" applyBorder="1" applyAlignment="1">
      <alignment horizontal="left"/>
    </xf>
    <xf numFmtId="14" fontId="1" fillId="0" borderId="2" xfId="0" applyNumberFormat="1" applyFont="1" applyBorder="1" applyAlignment="1">
      <alignment horizontal="center" vertical="top"/>
    </xf>
    <xf numFmtId="2" fontId="1" fillId="0" borderId="2" xfId="0" applyNumberFormat="1" applyFont="1" applyBorder="1" applyAlignment="1">
      <alignment horizontal="center" vertical="top"/>
    </xf>
    <xf numFmtId="10" fontId="1" fillId="0" borderId="2" xfId="0" applyNumberFormat="1" applyFont="1" applyBorder="1" applyAlignment="1">
      <alignment horizontal="center" vertical="top"/>
    </xf>
    <xf numFmtId="164" fontId="0" fillId="0" borderId="0" xfId="0" applyNumberFormat="1"/>
    <xf numFmtId="0" fontId="4" fillId="4" borderId="0" xfId="1" applyFont="1" applyFill="1" applyAlignment="1">
      <alignment horizontal="center" vertical="center"/>
    </xf>
    <xf numFmtId="164" fontId="0" fillId="0" borderId="0" xfId="2" applyNumberFormat="1" applyFont="1"/>
    <xf numFmtId="0" fontId="2" fillId="0" borderId="0" xfId="0" applyFont="1"/>
  </cellXfs>
  <cellStyles count="3">
    <cellStyle name="40% - Accent4" xfId="1" builtinId="43"/>
    <cellStyle name="Comma" xfId="2" builtinId="3"/>
    <cellStyle name="Normal" xfId="0" builtinId="0"/>
  </cellStyles>
  <dxfs count="65">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font>
        <color rgb="FF9C0006"/>
      </font>
      <fill>
        <patternFill>
          <bgColor rgb="FFFFC7CE"/>
        </patternFill>
      </fill>
    </dxf>
    <dxf>
      <numFmt numFmtId="164" formatCode="_-* #,##0_-;\-* #,##0_-;_-* &quot;-&quot;??_-;_-@_-"/>
    </dxf>
    <dxf>
      <numFmt numFmtId="164" formatCode="_-* #,##0_-;\-* #,##0_-;_-* &quot;-&quot;??_-;_-@_-"/>
    </dxf>
    <dxf>
      <numFmt numFmtId="2" formatCode="0.00"/>
    </dxf>
    <dxf>
      <numFmt numFmtId="14"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9" formatCode="dd/mm/yyyy"/>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family val="2"/>
        <scheme val="none"/>
      </font>
      <numFmt numFmtId="2" formatCode="0.00"/>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colors>
    <mruColors>
      <color rgb="FF06F03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[Nigeria Gas Production Dashboard.xlsx]Exploratory Data Analysis!PivotTable1</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 Total Gas Production (MMSCF)</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'Exploratory Data Analysis'!$B$3</c:f>
              <c:strCache>
                <c:ptCount val="1"/>
                <c:pt idx="0">
                  <c:v>Total</c:v>
                </c:pt>
              </c:strCache>
            </c:strRef>
          </c:tx>
          <c:spPr>
            <a:ln w="28575" cap="rnd">
              <a:solidFill>
                <a:schemeClr val="accent1"/>
              </a:solidFill>
              <a:round/>
            </a:ln>
            <a:effectLst/>
          </c:spPr>
          <c:marker>
            <c:symbol val="none"/>
          </c:marker>
          <c:cat>
            <c:strRef>
              <c:f>'Exploratory Data Analysis'!$A$4:$A$9</c:f>
              <c:strCache>
                <c:ptCount val="5"/>
                <c:pt idx="0">
                  <c:v>2021</c:v>
                </c:pt>
                <c:pt idx="1">
                  <c:v>2022</c:v>
                </c:pt>
                <c:pt idx="2">
                  <c:v>2023</c:v>
                </c:pt>
                <c:pt idx="3">
                  <c:v>2024</c:v>
                </c:pt>
                <c:pt idx="4">
                  <c:v>2025</c:v>
                </c:pt>
              </c:strCache>
            </c:strRef>
          </c:cat>
          <c:val>
            <c:numRef>
              <c:f>'Exploratory Data Analysis'!$B$4:$B$9</c:f>
              <c:numCache>
                <c:formatCode>_-* #,##0_-;\-* #,##0_-;_-* "-"??_-;_-@_-</c:formatCode>
                <c:ptCount val="5"/>
                <c:pt idx="0">
                  <c:v>2744312.7941637281</c:v>
                </c:pt>
                <c:pt idx="1">
                  <c:v>2521241.9203100116</c:v>
                </c:pt>
                <c:pt idx="2">
                  <c:v>2491481.488917599</c:v>
                </c:pt>
                <c:pt idx="3">
                  <c:v>2508275.6407274203</c:v>
                </c:pt>
                <c:pt idx="4">
                  <c:v>1372671.1353419595</c:v>
                </c:pt>
              </c:numCache>
            </c:numRef>
          </c:val>
          <c:smooth val="1"/>
          <c:extLst>
            <c:ext xmlns:c16="http://schemas.microsoft.com/office/drawing/2014/chart" uri="{C3380CC4-5D6E-409C-BE32-E72D297353CC}">
              <c16:uniqueId val="{00000000-8EC2-4097-B821-372A8F36FB4B}"/>
            </c:ext>
          </c:extLst>
        </c:ser>
        <c:dLbls>
          <c:showLegendKey val="0"/>
          <c:showVal val="0"/>
          <c:showCatName val="0"/>
          <c:showSerName val="0"/>
          <c:showPercent val="0"/>
          <c:showBubbleSize val="0"/>
        </c:dLbls>
        <c:smooth val="0"/>
        <c:axId val="461943408"/>
        <c:axId val="461943888"/>
      </c:lineChart>
      <c:catAx>
        <c:axId val="461943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1943888"/>
        <c:crosses val="autoZero"/>
        <c:auto val="1"/>
        <c:lblAlgn val="ctr"/>
        <c:lblOffset val="100"/>
        <c:noMultiLvlLbl val="0"/>
      </c:catAx>
      <c:valAx>
        <c:axId val="461943888"/>
        <c:scaling>
          <c:orientation val="minMax"/>
          <c:min val="500000"/>
        </c:scaling>
        <c:delete val="0"/>
        <c:axPos val="l"/>
        <c:majorGridlines>
          <c:spPr>
            <a:ln w="9525" cap="flat" cmpd="sng" algn="ctr">
              <a:solidFill>
                <a:schemeClr val="tx1">
                  <a:lumMod val="15000"/>
                  <a:lumOff val="85000"/>
                </a:schemeClr>
              </a:solidFill>
              <a:round/>
            </a:ln>
            <a:effectLst/>
          </c:spPr>
        </c:majorGridlines>
        <c:numFmt formatCode="0.0\ \K"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1943408"/>
        <c:crosses val="autoZero"/>
        <c:crossBetween val="between"/>
        <c:dispUnits>
          <c:builtInUnit val="thousands"/>
        </c:dispUnits>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[Nigeria Gas Production Dashboard.xlsx]Exploratory Data Analysis!PivotTable2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Annual % Contribution</a:t>
            </a:r>
            <a:r>
              <a:rPr lang="en-US" b="1" baseline="0"/>
              <a:t> of AG and NAG </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'Exploratory Data Analysis'!$M$3</c:f>
              <c:strCache>
                <c:ptCount val="1"/>
                <c:pt idx="0">
                  <c:v>Associated Gas</c:v>
                </c:pt>
              </c:strCache>
            </c:strRef>
          </c:tx>
          <c:spPr>
            <a:solidFill>
              <a:schemeClr val="accent1"/>
            </a:solidFill>
            <a:ln>
              <a:noFill/>
            </a:ln>
            <a:effectLst/>
          </c:spPr>
          <c:invertIfNegative val="0"/>
          <c:cat>
            <c:strRef>
              <c:f>'Exploratory Data Analysis'!$L$4:$L$9</c:f>
              <c:strCache>
                <c:ptCount val="5"/>
                <c:pt idx="0">
                  <c:v>2021</c:v>
                </c:pt>
                <c:pt idx="1">
                  <c:v>2022</c:v>
                </c:pt>
                <c:pt idx="2">
                  <c:v>2023</c:v>
                </c:pt>
                <c:pt idx="3">
                  <c:v>2024</c:v>
                </c:pt>
                <c:pt idx="4">
                  <c:v>2025</c:v>
                </c:pt>
              </c:strCache>
            </c:strRef>
          </c:cat>
          <c:val>
            <c:numRef>
              <c:f>'Exploratory Data Analysis'!$M$4:$M$9</c:f>
              <c:numCache>
                <c:formatCode>_-* #,##0_-;\-* #,##0_-;_-* "-"??_-;_-@_-</c:formatCode>
                <c:ptCount val="5"/>
                <c:pt idx="0">
                  <c:v>1459589.1294893441</c:v>
                </c:pt>
                <c:pt idx="1">
                  <c:v>1429626.1234078114</c:v>
                </c:pt>
                <c:pt idx="2">
                  <c:v>1506769.9443520817</c:v>
                </c:pt>
                <c:pt idx="3">
                  <c:v>1440742.4845176693</c:v>
                </c:pt>
                <c:pt idx="4">
                  <c:v>729616.52917515649</c:v>
                </c:pt>
              </c:numCache>
            </c:numRef>
          </c:val>
          <c:extLst>
            <c:ext xmlns:c16="http://schemas.microsoft.com/office/drawing/2014/chart" uri="{C3380CC4-5D6E-409C-BE32-E72D297353CC}">
              <c16:uniqueId val="{00000000-23CE-4E69-A813-706593E2C2E4}"/>
            </c:ext>
          </c:extLst>
        </c:ser>
        <c:ser>
          <c:idx val="1"/>
          <c:order val="1"/>
          <c:tx>
            <c:strRef>
              <c:f>'Exploratory Data Analysis'!$N$3</c:f>
              <c:strCache>
                <c:ptCount val="1"/>
                <c:pt idx="0">
                  <c:v>Non-Associated Gas</c:v>
                </c:pt>
              </c:strCache>
            </c:strRef>
          </c:tx>
          <c:spPr>
            <a:solidFill>
              <a:schemeClr val="accent2"/>
            </a:solidFill>
            <a:ln>
              <a:noFill/>
            </a:ln>
            <a:effectLst/>
          </c:spPr>
          <c:invertIfNegative val="0"/>
          <c:cat>
            <c:strRef>
              <c:f>'Exploratory Data Analysis'!$L$4:$L$9</c:f>
              <c:strCache>
                <c:ptCount val="5"/>
                <c:pt idx="0">
                  <c:v>2021</c:v>
                </c:pt>
                <c:pt idx="1">
                  <c:v>2022</c:v>
                </c:pt>
                <c:pt idx="2">
                  <c:v>2023</c:v>
                </c:pt>
                <c:pt idx="3">
                  <c:v>2024</c:v>
                </c:pt>
                <c:pt idx="4">
                  <c:v>2025</c:v>
                </c:pt>
              </c:strCache>
            </c:strRef>
          </c:cat>
          <c:val>
            <c:numRef>
              <c:f>'Exploratory Data Analysis'!$N$4:$N$9</c:f>
              <c:numCache>
                <c:formatCode>_-* #,##0_-;\-* #,##0_-;_-* "-"??_-;_-@_-</c:formatCode>
                <c:ptCount val="5"/>
                <c:pt idx="0">
                  <c:v>1284723.6646743845</c:v>
                </c:pt>
                <c:pt idx="1">
                  <c:v>1091615.7969021995</c:v>
                </c:pt>
                <c:pt idx="2">
                  <c:v>984711.54456551711</c:v>
                </c:pt>
                <c:pt idx="3">
                  <c:v>1067585.0221197512</c:v>
                </c:pt>
                <c:pt idx="4">
                  <c:v>643319.92700680264</c:v>
                </c:pt>
              </c:numCache>
            </c:numRef>
          </c:val>
          <c:extLst>
            <c:ext xmlns:c16="http://schemas.microsoft.com/office/drawing/2014/chart" uri="{C3380CC4-5D6E-409C-BE32-E72D297353CC}">
              <c16:uniqueId val="{00000001-23CE-4E69-A813-706593E2C2E4}"/>
            </c:ext>
          </c:extLst>
        </c:ser>
        <c:dLbls>
          <c:showLegendKey val="0"/>
          <c:showVal val="0"/>
          <c:showCatName val="0"/>
          <c:showSerName val="0"/>
          <c:showPercent val="0"/>
          <c:showBubbleSize val="0"/>
        </c:dLbls>
        <c:gapWidth val="150"/>
        <c:overlap val="100"/>
        <c:axId val="799666400"/>
        <c:axId val="799695680"/>
      </c:barChart>
      <c:catAx>
        <c:axId val="799666400"/>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9695680"/>
        <c:crosses val="autoZero"/>
        <c:auto val="1"/>
        <c:lblAlgn val="ctr"/>
        <c:lblOffset val="100"/>
        <c:noMultiLvlLbl val="0"/>
      </c:catAx>
      <c:valAx>
        <c:axId val="799695680"/>
        <c:scaling>
          <c:orientation val="minMax"/>
        </c:scaling>
        <c:delete val="0"/>
        <c:axPos val="t"/>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966640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[Nigeria Gas Production Dashboard.xlsx]Exploratory Data Analysis!PivotTable4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Gas Utilization</a:t>
            </a:r>
            <a:r>
              <a:rPr lang="en-US" baseline="0"/>
              <a:t> Mix</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'Exploratory Data Analysis'!$R$3</c:f>
              <c:strCache>
                <c:ptCount val="1"/>
                <c:pt idx="0">
                  <c:v>Exported Sale</c:v>
                </c:pt>
              </c:strCache>
            </c:strRef>
          </c:tx>
          <c:spPr>
            <a:solidFill>
              <a:schemeClr val="accent1"/>
            </a:solidFill>
            <a:ln>
              <a:noFill/>
            </a:ln>
            <a:effectLst/>
          </c:spPr>
          <c:invertIfNegative val="0"/>
          <c:cat>
            <c:strRef>
              <c:f>'Exploratory Data Analysis'!$Q$4:$Q$9</c:f>
              <c:strCache>
                <c:ptCount val="5"/>
                <c:pt idx="0">
                  <c:v>2021</c:v>
                </c:pt>
                <c:pt idx="1">
                  <c:v>2022</c:v>
                </c:pt>
                <c:pt idx="2">
                  <c:v>2023</c:v>
                </c:pt>
                <c:pt idx="3">
                  <c:v>2024</c:v>
                </c:pt>
                <c:pt idx="4">
                  <c:v>2025</c:v>
                </c:pt>
              </c:strCache>
            </c:strRef>
          </c:cat>
          <c:val>
            <c:numRef>
              <c:f>'Exploratory Data Analysis'!$R$4:$R$9</c:f>
              <c:numCache>
                <c:formatCode>_-* #,##0_-;\-* #,##0_-;_-* "-"??_-;_-@_-</c:formatCode>
                <c:ptCount val="5"/>
                <c:pt idx="0">
                  <c:v>1138645.0146065929</c:v>
                </c:pt>
                <c:pt idx="1">
                  <c:v>999251.38178373384</c:v>
                </c:pt>
                <c:pt idx="2">
                  <c:v>847754.56106675544</c:v>
                </c:pt>
                <c:pt idx="3">
                  <c:v>905341.93950426835</c:v>
                </c:pt>
                <c:pt idx="4">
                  <c:v>481066.77310096694</c:v>
                </c:pt>
              </c:numCache>
            </c:numRef>
          </c:val>
          <c:extLst>
            <c:ext xmlns:c16="http://schemas.microsoft.com/office/drawing/2014/chart" uri="{C3380CC4-5D6E-409C-BE32-E72D297353CC}">
              <c16:uniqueId val="{00000000-6F3D-4DD6-B2F3-AEC747BDB6C6}"/>
            </c:ext>
          </c:extLst>
        </c:ser>
        <c:ser>
          <c:idx val="1"/>
          <c:order val="1"/>
          <c:tx>
            <c:strRef>
              <c:f>'Exploratory Data Analysis'!$S$3</c:f>
              <c:strCache>
                <c:ptCount val="1"/>
                <c:pt idx="0">
                  <c:v>Field Usage</c:v>
                </c:pt>
              </c:strCache>
            </c:strRef>
          </c:tx>
          <c:spPr>
            <a:solidFill>
              <a:schemeClr val="accent2"/>
            </a:solidFill>
            <a:ln>
              <a:noFill/>
            </a:ln>
            <a:effectLst/>
          </c:spPr>
          <c:invertIfNegative val="0"/>
          <c:cat>
            <c:strRef>
              <c:f>'Exploratory Data Analysis'!$Q$4:$Q$9</c:f>
              <c:strCache>
                <c:ptCount val="5"/>
                <c:pt idx="0">
                  <c:v>2021</c:v>
                </c:pt>
                <c:pt idx="1">
                  <c:v>2022</c:v>
                </c:pt>
                <c:pt idx="2">
                  <c:v>2023</c:v>
                </c:pt>
                <c:pt idx="3">
                  <c:v>2024</c:v>
                </c:pt>
                <c:pt idx="4">
                  <c:v>2025</c:v>
                </c:pt>
              </c:strCache>
            </c:strRef>
          </c:cat>
          <c:val>
            <c:numRef>
              <c:f>'Exploratory Data Analysis'!$S$4:$S$9</c:f>
              <c:numCache>
                <c:formatCode>_-* #,##0_-;\-* #,##0_-;_-* "-"??_-;_-@_-</c:formatCode>
                <c:ptCount val="5"/>
                <c:pt idx="0">
                  <c:v>759483.249793433</c:v>
                </c:pt>
                <c:pt idx="1">
                  <c:v>754791.44250270748</c:v>
                </c:pt>
                <c:pt idx="2">
                  <c:v>803991.82383628655</c:v>
                </c:pt>
                <c:pt idx="3">
                  <c:v>733939.40780028095</c:v>
                </c:pt>
                <c:pt idx="4">
                  <c:v>408276.59868635231</c:v>
                </c:pt>
              </c:numCache>
            </c:numRef>
          </c:val>
          <c:extLst>
            <c:ext xmlns:c16="http://schemas.microsoft.com/office/drawing/2014/chart" uri="{C3380CC4-5D6E-409C-BE32-E72D297353CC}">
              <c16:uniqueId val="{00000001-6F3D-4DD6-B2F3-AEC747BDB6C6}"/>
            </c:ext>
          </c:extLst>
        </c:ser>
        <c:ser>
          <c:idx val="2"/>
          <c:order val="2"/>
          <c:tx>
            <c:strRef>
              <c:f>'Exploratory Data Analysis'!$T$3</c:f>
              <c:strCache>
                <c:ptCount val="1"/>
                <c:pt idx="0">
                  <c:v>Domestic Sale</c:v>
                </c:pt>
              </c:strCache>
            </c:strRef>
          </c:tx>
          <c:spPr>
            <a:solidFill>
              <a:schemeClr val="accent3"/>
            </a:solidFill>
            <a:ln>
              <a:noFill/>
            </a:ln>
            <a:effectLst/>
          </c:spPr>
          <c:invertIfNegative val="0"/>
          <c:cat>
            <c:strRef>
              <c:f>'Exploratory Data Analysis'!$Q$4:$Q$9</c:f>
              <c:strCache>
                <c:ptCount val="5"/>
                <c:pt idx="0">
                  <c:v>2021</c:v>
                </c:pt>
                <c:pt idx="1">
                  <c:v>2022</c:v>
                </c:pt>
                <c:pt idx="2">
                  <c:v>2023</c:v>
                </c:pt>
                <c:pt idx="3">
                  <c:v>2024</c:v>
                </c:pt>
                <c:pt idx="4">
                  <c:v>2025</c:v>
                </c:pt>
              </c:strCache>
            </c:strRef>
          </c:cat>
          <c:val>
            <c:numRef>
              <c:f>'Exploratory Data Analysis'!$T$4:$T$9</c:f>
              <c:numCache>
                <c:formatCode>_-* #,##0_-;\-* #,##0_-;_-* "-"??_-;_-@_-</c:formatCode>
                <c:ptCount val="5"/>
                <c:pt idx="0">
                  <c:v>580892.50733069214</c:v>
                </c:pt>
                <c:pt idx="1">
                  <c:v>569328.57705075317</c:v>
                </c:pt>
                <c:pt idx="2">
                  <c:v>649929.59155797178</c:v>
                </c:pt>
                <c:pt idx="3">
                  <c:v>673644.81342990976</c:v>
                </c:pt>
                <c:pt idx="4">
                  <c:v>370661.95034483162</c:v>
                </c:pt>
              </c:numCache>
            </c:numRef>
          </c:val>
          <c:extLst>
            <c:ext xmlns:c16="http://schemas.microsoft.com/office/drawing/2014/chart" uri="{C3380CC4-5D6E-409C-BE32-E72D297353CC}">
              <c16:uniqueId val="{00000002-6F3D-4DD6-B2F3-AEC747BDB6C6}"/>
            </c:ext>
          </c:extLst>
        </c:ser>
        <c:dLbls>
          <c:showLegendKey val="0"/>
          <c:showVal val="0"/>
          <c:showCatName val="0"/>
          <c:showSerName val="0"/>
          <c:showPercent val="0"/>
          <c:showBubbleSize val="0"/>
        </c:dLbls>
        <c:gapWidth val="150"/>
        <c:overlap val="100"/>
        <c:axId val="799703360"/>
        <c:axId val="799711520"/>
      </c:barChart>
      <c:catAx>
        <c:axId val="799703360"/>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9711520"/>
        <c:crosses val="autoZero"/>
        <c:auto val="1"/>
        <c:lblAlgn val="ctr"/>
        <c:lblOffset val="100"/>
        <c:noMultiLvlLbl val="0"/>
      </c:catAx>
      <c:valAx>
        <c:axId val="799711520"/>
        <c:scaling>
          <c:orientation val="minMax"/>
        </c:scaling>
        <c:delete val="0"/>
        <c:axPos val="t"/>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970336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[Nigeria Gas Production Dashboard.xlsx]Exploratory Data Analysis!PivotTable5</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Gas Flared (MMSCF)</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rgbClr val="FF0000"/>
            </a:solidFill>
            <a:round/>
          </a:ln>
          <a:effectLst/>
        </c:spPr>
        <c:marker>
          <c:symbol val="none"/>
        </c:marker>
      </c:pivotFmt>
    </c:pivotFmts>
    <c:plotArea>
      <c:layout/>
      <c:lineChart>
        <c:grouping val="standard"/>
        <c:varyColors val="0"/>
        <c:ser>
          <c:idx val="0"/>
          <c:order val="0"/>
          <c:tx>
            <c:strRef>
              <c:f>'Exploratory Data Analysis'!$X$3</c:f>
              <c:strCache>
                <c:ptCount val="1"/>
                <c:pt idx="0">
                  <c:v>Total</c:v>
                </c:pt>
              </c:strCache>
            </c:strRef>
          </c:tx>
          <c:spPr>
            <a:ln w="28575" cap="rnd">
              <a:solidFill>
                <a:schemeClr val="accent1"/>
              </a:solidFill>
              <a:round/>
            </a:ln>
            <a:effectLst/>
          </c:spPr>
          <c:marker>
            <c:symbol val="none"/>
          </c:marker>
          <c:dPt>
            <c:idx val="4"/>
            <c:marker>
              <c:symbol val="none"/>
            </c:marker>
            <c:bubble3D val="0"/>
            <c:spPr>
              <a:ln w="28575" cap="rnd">
                <a:solidFill>
                  <a:srgbClr val="FF0000"/>
                </a:solidFill>
                <a:round/>
              </a:ln>
              <a:effectLst/>
            </c:spPr>
            <c:extLst>
              <c:ext xmlns:c16="http://schemas.microsoft.com/office/drawing/2014/chart" uri="{C3380CC4-5D6E-409C-BE32-E72D297353CC}">
                <c16:uniqueId val="{00000003-14FD-41CD-B78C-57F6A961BDA3}"/>
              </c:ext>
            </c:extLst>
          </c:dPt>
          <c:cat>
            <c:strRef>
              <c:f>'Exploratory Data Analysis'!$W$4:$W$9</c:f>
              <c:strCache>
                <c:ptCount val="5"/>
                <c:pt idx="0">
                  <c:v>2021</c:v>
                </c:pt>
                <c:pt idx="1">
                  <c:v>2022</c:v>
                </c:pt>
                <c:pt idx="2">
                  <c:v>2023</c:v>
                </c:pt>
                <c:pt idx="3">
                  <c:v>2024</c:v>
                </c:pt>
                <c:pt idx="4">
                  <c:v>2025</c:v>
                </c:pt>
              </c:strCache>
            </c:strRef>
          </c:cat>
          <c:val>
            <c:numRef>
              <c:f>'Exploratory Data Analysis'!$X$4:$X$9</c:f>
              <c:numCache>
                <c:formatCode>0.00</c:formatCode>
                <c:ptCount val="5"/>
                <c:pt idx="0">
                  <c:v>252579.36364807896</c:v>
                </c:pt>
                <c:pt idx="1">
                  <c:v>188442.44374282187</c:v>
                </c:pt>
                <c:pt idx="2">
                  <c:v>183525.93094158146</c:v>
                </c:pt>
                <c:pt idx="3">
                  <c:v>192887.062937215</c:v>
                </c:pt>
                <c:pt idx="4">
                  <c:v>101417.42694348963</c:v>
                </c:pt>
              </c:numCache>
            </c:numRef>
          </c:val>
          <c:smooth val="1"/>
          <c:extLst>
            <c:ext xmlns:c16="http://schemas.microsoft.com/office/drawing/2014/chart" uri="{C3380CC4-5D6E-409C-BE32-E72D297353CC}">
              <c16:uniqueId val="{00000000-14FD-41CD-B78C-57F6A961BDA3}"/>
            </c:ext>
          </c:extLst>
        </c:ser>
        <c:dLbls>
          <c:showLegendKey val="0"/>
          <c:showVal val="0"/>
          <c:showCatName val="0"/>
          <c:showSerName val="0"/>
          <c:showPercent val="0"/>
          <c:showBubbleSize val="0"/>
        </c:dLbls>
        <c:smooth val="0"/>
        <c:axId val="820317776"/>
        <c:axId val="820309136"/>
      </c:lineChart>
      <c:catAx>
        <c:axId val="820317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0309136"/>
        <c:crosses val="autoZero"/>
        <c:auto val="1"/>
        <c:lblAlgn val="ctr"/>
        <c:lblOffset val="100"/>
        <c:noMultiLvlLbl val="0"/>
      </c:catAx>
      <c:valAx>
        <c:axId val="820309136"/>
        <c:scaling>
          <c:orientation val="minMax"/>
        </c:scaling>
        <c:delete val="0"/>
        <c:axPos val="l"/>
        <c:majorGridlines>
          <c:spPr>
            <a:ln w="9525" cap="flat" cmpd="sng" algn="ctr">
              <a:solidFill>
                <a:schemeClr val="tx1">
                  <a:lumMod val="15000"/>
                  <a:lumOff val="85000"/>
                </a:schemeClr>
              </a:solidFill>
              <a:round/>
            </a:ln>
            <a:effectLst/>
          </c:spPr>
        </c:majorGridlines>
        <c:numFmt formatCode="0.0\ \K"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0317776"/>
        <c:crosses val="autoZero"/>
        <c:crossBetween val="between"/>
        <c:dispUnits>
          <c:builtInUnit val="thousands"/>
        </c:dispUnits>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[Nigeria Gas Production Dashboard.xlsx]Exploratory Data Analysis!PivotTable6</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Gas Utilized</a:t>
            </a:r>
            <a:r>
              <a:rPr lang="en-US" baseline="0"/>
              <a:t> (TCF)</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rgbClr val="FF0000"/>
            </a:solidFill>
            <a:round/>
          </a:ln>
          <a:effectLst/>
        </c:spPr>
        <c:marker>
          <c:symbol val="none"/>
        </c:marker>
      </c:pivotFmt>
    </c:pivotFmts>
    <c:plotArea>
      <c:layout/>
      <c:lineChart>
        <c:grouping val="standard"/>
        <c:varyColors val="0"/>
        <c:ser>
          <c:idx val="0"/>
          <c:order val="0"/>
          <c:tx>
            <c:strRef>
              <c:f>'Exploratory Data Analysis'!$AB$3</c:f>
              <c:strCache>
                <c:ptCount val="1"/>
                <c:pt idx="0">
                  <c:v>Total</c:v>
                </c:pt>
              </c:strCache>
            </c:strRef>
          </c:tx>
          <c:spPr>
            <a:ln w="28575" cap="rnd">
              <a:solidFill>
                <a:schemeClr val="accent1"/>
              </a:solidFill>
              <a:round/>
            </a:ln>
            <a:effectLst/>
          </c:spPr>
          <c:marker>
            <c:symbol val="none"/>
          </c:marker>
          <c:dPt>
            <c:idx val="4"/>
            <c:marker>
              <c:symbol val="none"/>
            </c:marker>
            <c:bubble3D val="0"/>
            <c:spPr>
              <a:ln w="28575" cap="rnd">
                <a:solidFill>
                  <a:srgbClr val="FF0000"/>
                </a:solidFill>
                <a:round/>
              </a:ln>
              <a:effectLst/>
            </c:spPr>
            <c:extLst>
              <c:ext xmlns:c16="http://schemas.microsoft.com/office/drawing/2014/chart" uri="{C3380CC4-5D6E-409C-BE32-E72D297353CC}">
                <c16:uniqueId val="{00000002-D829-4AD9-9DEF-812F0DB561AE}"/>
              </c:ext>
            </c:extLst>
          </c:dPt>
          <c:cat>
            <c:strRef>
              <c:f>'Exploratory Data Analysis'!$AA$4:$AA$9</c:f>
              <c:strCache>
                <c:ptCount val="5"/>
                <c:pt idx="0">
                  <c:v>2021</c:v>
                </c:pt>
                <c:pt idx="1">
                  <c:v>2022</c:v>
                </c:pt>
                <c:pt idx="2">
                  <c:v>2023</c:v>
                </c:pt>
                <c:pt idx="3">
                  <c:v>2024</c:v>
                </c:pt>
                <c:pt idx="4">
                  <c:v>2025</c:v>
                </c:pt>
              </c:strCache>
            </c:strRef>
          </c:cat>
          <c:val>
            <c:numRef>
              <c:f>'Exploratory Data Analysis'!$AB$4:$AB$9</c:f>
              <c:numCache>
                <c:formatCode>0.00</c:formatCode>
                <c:ptCount val="5"/>
                <c:pt idx="0">
                  <c:v>2479020.7717307182</c:v>
                </c:pt>
                <c:pt idx="1">
                  <c:v>2323371.4013371947</c:v>
                </c:pt>
                <c:pt idx="2">
                  <c:v>2301675.9764610142</c:v>
                </c:pt>
                <c:pt idx="3">
                  <c:v>2312926.1607344593</c:v>
                </c:pt>
                <c:pt idx="4">
                  <c:v>1260005.3221321506</c:v>
                </c:pt>
              </c:numCache>
            </c:numRef>
          </c:val>
          <c:smooth val="1"/>
          <c:extLst>
            <c:ext xmlns:c16="http://schemas.microsoft.com/office/drawing/2014/chart" uri="{C3380CC4-5D6E-409C-BE32-E72D297353CC}">
              <c16:uniqueId val="{00000000-D829-4AD9-9DEF-812F0DB561AE}"/>
            </c:ext>
          </c:extLst>
        </c:ser>
        <c:dLbls>
          <c:showLegendKey val="0"/>
          <c:showVal val="0"/>
          <c:showCatName val="0"/>
          <c:showSerName val="0"/>
          <c:showPercent val="0"/>
          <c:showBubbleSize val="0"/>
        </c:dLbls>
        <c:smooth val="0"/>
        <c:axId val="877390688"/>
        <c:axId val="877374368"/>
      </c:lineChart>
      <c:catAx>
        <c:axId val="877390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7374368"/>
        <c:crosses val="autoZero"/>
        <c:auto val="1"/>
        <c:lblAlgn val="ctr"/>
        <c:lblOffset val="100"/>
        <c:noMultiLvlLbl val="0"/>
      </c:catAx>
      <c:valAx>
        <c:axId val="87737436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7390688"/>
        <c:crosses val="autoZero"/>
        <c:crossBetween val="between"/>
        <c:dispUnits>
          <c:builtInUnit val="millions"/>
        </c:dispUnits>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[Nigeria Gas Production Dashboard.xlsx]Exploratory Data Analysis!PivotTable7</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Domestic</a:t>
            </a:r>
            <a:r>
              <a:rPr lang="en-US" baseline="0"/>
              <a:t> vs. Export Sales (TCF)</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'Exploratory Data Analysis'!$AH$2</c:f>
              <c:strCache>
                <c:ptCount val="1"/>
                <c:pt idx="0">
                  <c:v>Exported Gas Sales</c:v>
                </c:pt>
              </c:strCache>
            </c:strRef>
          </c:tx>
          <c:spPr>
            <a:ln w="28575" cap="rnd">
              <a:solidFill>
                <a:schemeClr val="accent1"/>
              </a:solidFill>
              <a:round/>
            </a:ln>
            <a:effectLst/>
          </c:spPr>
          <c:marker>
            <c:symbol val="none"/>
          </c:marker>
          <c:cat>
            <c:strRef>
              <c:f>'Exploratory Data Analysis'!$AG$3:$AG$8</c:f>
              <c:strCache>
                <c:ptCount val="5"/>
                <c:pt idx="0">
                  <c:v>2021</c:v>
                </c:pt>
                <c:pt idx="1">
                  <c:v>2022</c:v>
                </c:pt>
                <c:pt idx="2">
                  <c:v>2023</c:v>
                </c:pt>
                <c:pt idx="3">
                  <c:v>2024</c:v>
                </c:pt>
                <c:pt idx="4">
                  <c:v>2025</c:v>
                </c:pt>
              </c:strCache>
            </c:strRef>
          </c:cat>
          <c:val>
            <c:numRef>
              <c:f>'Exploratory Data Analysis'!$AH$3:$AH$8</c:f>
              <c:numCache>
                <c:formatCode>0.00</c:formatCode>
                <c:ptCount val="5"/>
                <c:pt idx="0">
                  <c:v>1138645.0146065929</c:v>
                </c:pt>
                <c:pt idx="1">
                  <c:v>999251.38178373384</c:v>
                </c:pt>
                <c:pt idx="2">
                  <c:v>847754.56106675544</c:v>
                </c:pt>
                <c:pt idx="3">
                  <c:v>905341.93950426835</c:v>
                </c:pt>
                <c:pt idx="4">
                  <c:v>481066.77310096694</c:v>
                </c:pt>
              </c:numCache>
            </c:numRef>
          </c:val>
          <c:smooth val="1"/>
          <c:extLst>
            <c:ext xmlns:c16="http://schemas.microsoft.com/office/drawing/2014/chart" uri="{C3380CC4-5D6E-409C-BE32-E72D297353CC}">
              <c16:uniqueId val="{00000000-AA8D-41D2-957E-A2FF4F6585AC}"/>
            </c:ext>
          </c:extLst>
        </c:ser>
        <c:ser>
          <c:idx val="1"/>
          <c:order val="1"/>
          <c:tx>
            <c:strRef>
              <c:f>'Exploratory Data Analysis'!$AI$2</c:f>
              <c:strCache>
                <c:ptCount val="1"/>
                <c:pt idx="0">
                  <c:v>Domestic Gas Sales</c:v>
                </c:pt>
              </c:strCache>
            </c:strRef>
          </c:tx>
          <c:spPr>
            <a:ln w="28575" cap="rnd">
              <a:solidFill>
                <a:schemeClr val="accent2"/>
              </a:solidFill>
              <a:round/>
            </a:ln>
            <a:effectLst/>
          </c:spPr>
          <c:marker>
            <c:symbol val="none"/>
          </c:marker>
          <c:cat>
            <c:strRef>
              <c:f>'Exploratory Data Analysis'!$AG$3:$AG$8</c:f>
              <c:strCache>
                <c:ptCount val="5"/>
                <c:pt idx="0">
                  <c:v>2021</c:v>
                </c:pt>
                <c:pt idx="1">
                  <c:v>2022</c:v>
                </c:pt>
                <c:pt idx="2">
                  <c:v>2023</c:v>
                </c:pt>
                <c:pt idx="3">
                  <c:v>2024</c:v>
                </c:pt>
                <c:pt idx="4">
                  <c:v>2025</c:v>
                </c:pt>
              </c:strCache>
            </c:strRef>
          </c:cat>
          <c:val>
            <c:numRef>
              <c:f>'Exploratory Data Analysis'!$AI$3:$AI$8</c:f>
              <c:numCache>
                <c:formatCode>0.00</c:formatCode>
                <c:ptCount val="5"/>
                <c:pt idx="0">
                  <c:v>580892.50733069214</c:v>
                </c:pt>
                <c:pt idx="1">
                  <c:v>569328.57705075317</c:v>
                </c:pt>
                <c:pt idx="2">
                  <c:v>649929.59155797178</c:v>
                </c:pt>
                <c:pt idx="3">
                  <c:v>673644.81342990976</c:v>
                </c:pt>
                <c:pt idx="4">
                  <c:v>370661.95034483162</c:v>
                </c:pt>
              </c:numCache>
            </c:numRef>
          </c:val>
          <c:smooth val="1"/>
          <c:extLst>
            <c:ext xmlns:c16="http://schemas.microsoft.com/office/drawing/2014/chart" uri="{C3380CC4-5D6E-409C-BE32-E72D297353CC}">
              <c16:uniqueId val="{00000001-AA8D-41D2-957E-A2FF4F6585AC}"/>
            </c:ext>
          </c:extLst>
        </c:ser>
        <c:dLbls>
          <c:showLegendKey val="0"/>
          <c:showVal val="0"/>
          <c:showCatName val="0"/>
          <c:showSerName val="0"/>
          <c:showPercent val="0"/>
          <c:showBubbleSize val="0"/>
        </c:dLbls>
        <c:smooth val="0"/>
        <c:axId val="799708640"/>
        <c:axId val="799700480"/>
      </c:lineChart>
      <c:catAx>
        <c:axId val="799708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9700480"/>
        <c:crosses val="autoZero"/>
        <c:auto val="1"/>
        <c:lblAlgn val="ctr"/>
        <c:lblOffset val="100"/>
        <c:noMultiLvlLbl val="0"/>
      </c:catAx>
      <c:valAx>
        <c:axId val="799700480"/>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9708640"/>
        <c:crosses val="autoZero"/>
        <c:crossBetween val="between"/>
        <c:dispUnits>
          <c:builtInUnit val="millions"/>
        </c:dispUnits>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[Nigeria Gas Production Dashboard.xlsx]Exploratory Data Analysis!PivotTable3</c:name>
    <c:fmtId val="31"/>
  </c:pivotSource>
  <c:chart>
    <c:autoTitleDeleted val="1"/>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'Exploratory Data Analysis'!$AN$2</c:f>
              <c:strCache>
                <c:ptCount val="1"/>
                <c:pt idx="0">
                  <c:v>Total</c:v>
                </c:pt>
              </c:strCache>
            </c:strRef>
          </c:tx>
          <c:spPr>
            <a:solidFill>
              <a:schemeClr val="accent4"/>
            </a:solidFill>
            <a:ln>
              <a:noFill/>
            </a:ln>
            <a:effectLst/>
          </c:spPr>
          <c:invertIfNegative val="0"/>
          <c:cat>
            <c:strRef>
              <c:f>'Exploratory Data Analysis'!$AM$3:$AM$8</c:f>
              <c:strCache>
                <c:ptCount val="5"/>
                <c:pt idx="0">
                  <c:v>2021</c:v>
                </c:pt>
                <c:pt idx="1">
                  <c:v>2022</c:v>
                </c:pt>
                <c:pt idx="2">
                  <c:v>2023</c:v>
                </c:pt>
                <c:pt idx="3">
                  <c:v>2024</c:v>
                </c:pt>
                <c:pt idx="4">
                  <c:v>2025</c:v>
                </c:pt>
              </c:strCache>
            </c:strRef>
          </c:cat>
          <c:val>
            <c:numRef>
              <c:f>'Exploratory Data Analysis'!$AN$3:$AN$8</c:f>
              <c:numCache>
                <c:formatCode>_-* #,##0_-;\-* #,##0_-;_-* "-"??_-;_-@_-</c:formatCode>
                <c:ptCount val="5"/>
                <c:pt idx="0">
                  <c:v>2744312.7941637281</c:v>
                </c:pt>
                <c:pt idx="1">
                  <c:v>2521241.9203100116</c:v>
                </c:pt>
                <c:pt idx="2">
                  <c:v>2491481.488917599</c:v>
                </c:pt>
                <c:pt idx="3">
                  <c:v>2508275.6407274203</c:v>
                </c:pt>
                <c:pt idx="4">
                  <c:v>1372671.1353419595</c:v>
                </c:pt>
              </c:numCache>
            </c:numRef>
          </c:val>
          <c:extLst>
            <c:ext xmlns:c16="http://schemas.microsoft.com/office/drawing/2014/chart" uri="{C3380CC4-5D6E-409C-BE32-E72D297353CC}">
              <c16:uniqueId val="{00000000-EBDB-4F87-95E8-2F44DA3EA913}"/>
            </c:ext>
          </c:extLst>
        </c:ser>
        <c:dLbls>
          <c:showLegendKey val="0"/>
          <c:showVal val="0"/>
          <c:showCatName val="0"/>
          <c:showSerName val="0"/>
          <c:showPercent val="0"/>
          <c:showBubbleSize val="0"/>
        </c:dLbls>
        <c:gapWidth val="150"/>
        <c:axId val="2120830111"/>
        <c:axId val="2120854591"/>
      </c:barChart>
      <c:catAx>
        <c:axId val="2120830111"/>
        <c:scaling>
          <c:orientation val="minMax"/>
        </c:scaling>
        <c:delete val="0"/>
        <c:axPos val="b"/>
        <c:numFmt formatCode="General" sourceLinked="1"/>
        <c:majorTickMark val="none"/>
        <c:minorTickMark val="none"/>
        <c:tickLblPos val="nextTo"/>
        <c:spPr>
          <a:noFill/>
          <a:ln w="3175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120854591"/>
        <c:crosses val="autoZero"/>
        <c:auto val="1"/>
        <c:lblAlgn val="ctr"/>
        <c:lblOffset val="100"/>
        <c:noMultiLvlLbl val="0"/>
      </c:catAx>
      <c:valAx>
        <c:axId val="2120854591"/>
        <c:scaling>
          <c:orientation val="minMax"/>
        </c:scaling>
        <c:delete val="1"/>
        <c:axPos val="l"/>
        <c:numFmt formatCode="_-* #,##0_-;\-* #,##0_-;_-* &quot;-&quot;??_-;_-@_-" sourceLinked="1"/>
        <c:majorTickMark val="none"/>
        <c:minorTickMark val="none"/>
        <c:tickLblPos val="nextTo"/>
        <c:crossAx val="21208301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[Nigeria Gas Production Dashboard.xlsx]Exploratory Data Analysis!PivotTable8</c:name>
    <c:fmtId val="42"/>
  </c:pivotSource>
  <c:chart>
    <c:autoTitleDeleted val="1"/>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'Exploratory Data Analysis'!$AQ$2</c:f>
              <c:strCache>
                <c:ptCount val="1"/>
                <c:pt idx="0">
                  <c:v>Total</c:v>
                </c:pt>
              </c:strCache>
            </c:strRef>
          </c:tx>
          <c:spPr>
            <a:solidFill>
              <a:schemeClr val="accent4"/>
            </a:solidFill>
            <a:ln>
              <a:noFill/>
            </a:ln>
            <a:effectLst/>
          </c:spPr>
          <c:invertIfNegative val="0"/>
          <c:cat>
            <c:strRef>
              <c:f>'Exploratory Data Analysis'!$AP$3:$AP$8</c:f>
              <c:strCache>
                <c:ptCount val="5"/>
                <c:pt idx="0">
                  <c:v>2021</c:v>
                </c:pt>
                <c:pt idx="1">
                  <c:v>2022</c:v>
                </c:pt>
                <c:pt idx="2">
                  <c:v>2023</c:v>
                </c:pt>
                <c:pt idx="3">
                  <c:v>2024</c:v>
                </c:pt>
                <c:pt idx="4">
                  <c:v>2025</c:v>
                </c:pt>
              </c:strCache>
            </c:strRef>
          </c:cat>
          <c:val>
            <c:numRef>
              <c:f>'Exploratory Data Analysis'!$AQ$3:$AQ$8</c:f>
              <c:numCache>
                <c:formatCode>_-* #,##0_-;\-* #,##0_-;_-* "-"??_-;_-@_-</c:formatCode>
                <c:ptCount val="5"/>
                <c:pt idx="0">
                  <c:v>2479020.7717307182</c:v>
                </c:pt>
                <c:pt idx="1">
                  <c:v>2323371.4013371947</c:v>
                </c:pt>
                <c:pt idx="2">
                  <c:v>2301675.9764610142</c:v>
                </c:pt>
                <c:pt idx="3">
                  <c:v>2312926.1607344593</c:v>
                </c:pt>
                <c:pt idx="4">
                  <c:v>1260005.3221321506</c:v>
                </c:pt>
              </c:numCache>
            </c:numRef>
          </c:val>
          <c:extLst>
            <c:ext xmlns:c16="http://schemas.microsoft.com/office/drawing/2014/chart" uri="{C3380CC4-5D6E-409C-BE32-E72D297353CC}">
              <c16:uniqueId val="{00000000-BB33-41A0-BDDB-6A406E528304}"/>
            </c:ext>
          </c:extLst>
        </c:ser>
        <c:dLbls>
          <c:showLegendKey val="0"/>
          <c:showVal val="0"/>
          <c:showCatName val="0"/>
          <c:showSerName val="0"/>
          <c:showPercent val="0"/>
          <c:showBubbleSize val="0"/>
        </c:dLbls>
        <c:gapWidth val="219"/>
        <c:overlap val="-27"/>
        <c:axId val="60815343"/>
        <c:axId val="60805263"/>
      </c:barChart>
      <c:catAx>
        <c:axId val="60815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805263"/>
        <c:crosses val="autoZero"/>
        <c:auto val="1"/>
        <c:lblAlgn val="ctr"/>
        <c:lblOffset val="100"/>
        <c:noMultiLvlLbl val="0"/>
      </c:catAx>
      <c:valAx>
        <c:axId val="60805263"/>
        <c:scaling>
          <c:orientation val="minMax"/>
        </c:scaling>
        <c:delete val="1"/>
        <c:axPos val="l"/>
        <c:numFmt formatCode="_-* #,##0_-;\-* #,##0_-;_-* &quot;-&quot;??_-;_-@_-" sourceLinked="1"/>
        <c:majorTickMark val="none"/>
        <c:minorTickMark val="none"/>
        <c:tickLblPos val="nextTo"/>
        <c:crossAx val="608153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[Nigeria Gas Production Dashboard.xlsx]Exploratory Data Analysis!PivotTable9</c:name>
    <c:fmtId val="43"/>
  </c:pivotSource>
  <c:chart>
    <c:autoTitleDeleted val="1"/>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'Exploratory Data Analysis'!$AT$2</c:f>
              <c:strCache>
                <c:ptCount val="1"/>
                <c:pt idx="0">
                  <c:v>Total</c:v>
                </c:pt>
              </c:strCache>
            </c:strRef>
          </c:tx>
          <c:spPr>
            <a:solidFill>
              <a:schemeClr val="accent4"/>
            </a:solidFill>
            <a:ln>
              <a:noFill/>
            </a:ln>
            <a:effectLst/>
          </c:spPr>
          <c:invertIfNegative val="0"/>
          <c:cat>
            <c:strRef>
              <c:f>'Exploratory Data Analysis'!$AS$3:$AS$8</c:f>
              <c:strCache>
                <c:ptCount val="5"/>
                <c:pt idx="0">
                  <c:v>2021</c:v>
                </c:pt>
                <c:pt idx="1">
                  <c:v>2022</c:v>
                </c:pt>
                <c:pt idx="2">
                  <c:v>2023</c:v>
                </c:pt>
                <c:pt idx="3">
                  <c:v>2024</c:v>
                </c:pt>
                <c:pt idx="4">
                  <c:v>2025</c:v>
                </c:pt>
              </c:strCache>
            </c:strRef>
          </c:cat>
          <c:val>
            <c:numRef>
              <c:f>'Exploratory Data Analysis'!$AT$3:$AT$8</c:f>
              <c:numCache>
                <c:formatCode>_-* #,##0_-;\-* #,##0_-;_-* "-"??_-;_-@_-</c:formatCode>
                <c:ptCount val="5"/>
                <c:pt idx="0">
                  <c:v>252579.36364807896</c:v>
                </c:pt>
                <c:pt idx="1">
                  <c:v>188442.44374282187</c:v>
                </c:pt>
                <c:pt idx="2">
                  <c:v>183525.93094158146</c:v>
                </c:pt>
                <c:pt idx="3">
                  <c:v>192887.062937215</c:v>
                </c:pt>
                <c:pt idx="4">
                  <c:v>101417.42694348963</c:v>
                </c:pt>
              </c:numCache>
            </c:numRef>
          </c:val>
          <c:extLst>
            <c:ext xmlns:c16="http://schemas.microsoft.com/office/drawing/2014/chart" uri="{C3380CC4-5D6E-409C-BE32-E72D297353CC}">
              <c16:uniqueId val="{00000000-DB65-4900-8266-361E3656C1B2}"/>
            </c:ext>
          </c:extLst>
        </c:ser>
        <c:dLbls>
          <c:showLegendKey val="0"/>
          <c:showVal val="0"/>
          <c:showCatName val="0"/>
          <c:showSerName val="0"/>
          <c:showPercent val="0"/>
          <c:showBubbleSize val="0"/>
        </c:dLbls>
        <c:gapWidth val="219"/>
        <c:overlap val="-27"/>
        <c:axId val="298405791"/>
        <c:axId val="298401471"/>
      </c:barChart>
      <c:catAx>
        <c:axId val="298405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8401471"/>
        <c:crosses val="autoZero"/>
        <c:auto val="1"/>
        <c:lblAlgn val="ctr"/>
        <c:lblOffset val="100"/>
        <c:noMultiLvlLbl val="0"/>
      </c:catAx>
      <c:valAx>
        <c:axId val="298401471"/>
        <c:scaling>
          <c:orientation val="minMax"/>
        </c:scaling>
        <c:delete val="1"/>
        <c:axPos val="l"/>
        <c:numFmt formatCode="_-* #,##0_-;\-* #,##0_-;_-* &quot;-&quot;??_-;_-@_-" sourceLinked="1"/>
        <c:majorTickMark val="none"/>
        <c:minorTickMark val="none"/>
        <c:tickLblPos val="nextTo"/>
        <c:crossAx val="2984057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[Nigeria Gas Production Dashboard.xlsx]Exploratory Data Analysis!PivotTable10</c:name>
    <c:fmtId val="48"/>
  </c:pivotSource>
  <c:chart>
    <c:autoTitleDeleted val="1"/>
    <c:pivotFmts>
      <c:pivotFmt>
        <c:idx val="0"/>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'Exploratory Data Analysis'!$AW$2</c:f>
              <c:strCache>
                <c:ptCount val="1"/>
                <c:pt idx="0">
                  <c:v>Total</c:v>
                </c:pt>
              </c:strCache>
            </c:strRef>
          </c:tx>
          <c:spPr>
            <a:solidFill>
              <a:srgbClr val="7030A0"/>
            </a:solidFill>
            <a:ln>
              <a:noFill/>
            </a:ln>
            <a:effectLst/>
          </c:spPr>
          <c:invertIfNegative val="0"/>
          <c:cat>
            <c:strRef>
              <c:f>'Exploratory Data Analysis'!$AV$3:$AV$8</c:f>
              <c:strCache>
                <c:ptCount val="5"/>
                <c:pt idx="0">
                  <c:v>2021</c:v>
                </c:pt>
                <c:pt idx="1">
                  <c:v>2022</c:v>
                </c:pt>
                <c:pt idx="2">
                  <c:v>2023</c:v>
                </c:pt>
                <c:pt idx="3">
                  <c:v>2024</c:v>
                </c:pt>
                <c:pt idx="4">
                  <c:v>2025</c:v>
                </c:pt>
              </c:strCache>
            </c:strRef>
          </c:cat>
          <c:val>
            <c:numRef>
              <c:f>'Exploratory Data Analysis'!$AW$3:$AW$8</c:f>
              <c:numCache>
                <c:formatCode>_-* #,##0_-;\-* #,##0_-;_-* "-"??_-;_-@_-</c:formatCode>
                <c:ptCount val="5"/>
                <c:pt idx="0">
                  <c:v>12712.658784931236</c:v>
                </c:pt>
                <c:pt idx="1">
                  <c:v>9428.0752299940359</c:v>
                </c:pt>
                <c:pt idx="2">
                  <c:v>6397.2097127705601</c:v>
                </c:pt>
                <c:pt idx="3">
                  <c:v>2462.4170557463603</c:v>
                </c:pt>
                <c:pt idx="4">
                  <c:v>11248.38626631899</c:v>
                </c:pt>
              </c:numCache>
            </c:numRef>
          </c:val>
          <c:extLst>
            <c:ext xmlns:c16="http://schemas.microsoft.com/office/drawing/2014/chart" uri="{C3380CC4-5D6E-409C-BE32-E72D297353CC}">
              <c16:uniqueId val="{00000000-C27B-4FAE-B241-5D79237735D2}"/>
            </c:ext>
          </c:extLst>
        </c:ser>
        <c:dLbls>
          <c:showLegendKey val="0"/>
          <c:showVal val="0"/>
          <c:showCatName val="0"/>
          <c:showSerName val="0"/>
          <c:showPercent val="0"/>
          <c:showBubbleSize val="0"/>
        </c:dLbls>
        <c:gapWidth val="219"/>
        <c:overlap val="-27"/>
        <c:axId val="298508031"/>
        <c:axId val="298495071"/>
      </c:barChart>
      <c:catAx>
        <c:axId val="298508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8495071"/>
        <c:crosses val="autoZero"/>
        <c:auto val="1"/>
        <c:lblAlgn val="ctr"/>
        <c:lblOffset val="100"/>
        <c:noMultiLvlLbl val="0"/>
      </c:catAx>
      <c:valAx>
        <c:axId val="298495071"/>
        <c:scaling>
          <c:orientation val="minMax"/>
        </c:scaling>
        <c:delete val="1"/>
        <c:axPos val="l"/>
        <c:numFmt formatCode="_-* #,##0_-;\-* #,##0_-;_-* &quot;-&quot;??_-;_-@_-" sourceLinked="1"/>
        <c:majorTickMark val="none"/>
        <c:minorTickMark val="none"/>
        <c:tickLblPos val="nextTo"/>
        <c:crossAx val="2985080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[Nigeria Gas Production Dashboard.xlsx]Exploratory Data Analysis!PivotTable1</c:name>
    <c:fmtId val="4"/>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a:t> Total Gas Production (MMSCF)</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76200" cap="rnd">
            <a:solidFill>
              <a:schemeClr val="accent4">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'Exploratory Data Analysis'!$B$3</c:f>
              <c:strCache>
                <c:ptCount val="1"/>
                <c:pt idx="0">
                  <c:v>Total</c:v>
                </c:pt>
              </c:strCache>
            </c:strRef>
          </c:tx>
          <c:spPr>
            <a:ln w="76200" cap="rnd">
              <a:solidFill>
                <a:schemeClr val="accent4">
                  <a:lumMod val="75000"/>
                </a:schemeClr>
              </a:solidFill>
              <a:round/>
            </a:ln>
            <a:effectLst/>
          </c:spPr>
          <c:marker>
            <c:symbol val="none"/>
          </c:marker>
          <c:cat>
            <c:strRef>
              <c:f>'Exploratory Data Analysis'!$A$4:$A$9</c:f>
              <c:strCache>
                <c:ptCount val="5"/>
                <c:pt idx="0">
                  <c:v>2021</c:v>
                </c:pt>
                <c:pt idx="1">
                  <c:v>2022</c:v>
                </c:pt>
                <c:pt idx="2">
                  <c:v>2023</c:v>
                </c:pt>
                <c:pt idx="3">
                  <c:v>2024</c:v>
                </c:pt>
                <c:pt idx="4">
                  <c:v>2025</c:v>
                </c:pt>
              </c:strCache>
            </c:strRef>
          </c:cat>
          <c:val>
            <c:numRef>
              <c:f>'Exploratory Data Analysis'!$B$4:$B$9</c:f>
              <c:numCache>
                <c:formatCode>_-* #,##0_-;\-* #,##0_-;_-* "-"??_-;_-@_-</c:formatCode>
                <c:ptCount val="5"/>
                <c:pt idx="0">
                  <c:v>2744312.7941637281</c:v>
                </c:pt>
                <c:pt idx="1">
                  <c:v>2521241.9203100116</c:v>
                </c:pt>
                <c:pt idx="2">
                  <c:v>2491481.488917599</c:v>
                </c:pt>
                <c:pt idx="3">
                  <c:v>2508275.6407274203</c:v>
                </c:pt>
                <c:pt idx="4">
                  <c:v>1372671.1353419595</c:v>
                </c:pt>
              </c:numCache>
            </c:numRef>
          </c:val>
          <c:smooth val="1"/>
          <c:extLst>
            <c:ext xmlns:c16="http://schemas.microsoft.com/office/drawing/2014/chart" uri="{C3380CC4-5D6E-409C-BE32-E72D297353CC}">
              <c16:uniqueId val="{00000000-0753-4A3B-A7F2-2669E4907679}"/>
            </c:ext>
          </c:extLst>
        </c:ser>
        <c:dLbls>
          <c:showLegendKey val="0"/>
          <c:showVal val="0"/>
          <c:showCatName val="0"/>
          <c:showSerName val="0"/>
          <c:showPercent val="0"/>
          <c:showBubbleSize val="0"/>
        </c:dLbls>
        <c:smooth val="0"/>
        <c:axId val="461943408"/>
        <c:axId val="461943888"/>
      </c:lineChart>
      <c:catAx>
        <c:axId val="461943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1943888"/>
        <c:crosses val="autoZero"/>
        <c:auto val="1"/>
        <c:lblAlgn val="ctr"/>
        <c:lblOffset val="100"/>
        <c:noMultiLvlLbl val="0"/>
      </c:catAx>
      <c:valAx>
        <c:axId val="461943888"/>
        <c:scaling>
          <c:orientation val="minMax"/>
          <c:min val="500000"/>
        </c:scaling>
        <c:delete val="0"/>
        <c:axPos val="l"/>
        <c:majorGridlines>
          <c:spPr>
            <a:ln w="9525" cap="flat" cmpd="sng" algn="ctr">
              <a:solidFill>
                <a:schemeClr val="bg1">
                  <a:lumMod val="95000"/>
                  <a:alpha val="95000"/>
                </a:schemeClr>
              </a:solidFill>
              <a:round/>
            </a:ln>
            <a:effectLst/>
          </c:spPr>
        </c:majorGridlines>
        <c:numFmt formatCode="0.0\ \K" sourceLinked="0"/>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461943408"/>
        <c:crosses val="autoZero"/>
        <c:crossBetween val="between"/>
        <c:dispUnits>
          <c:builtInUnit val="thousands"/>
        </c:dispUnits>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[Nigeria Gas Production Dashboard.xlsx]Exploratory Data Analysis!PivotTable2</c:name>
    <c:fmtId val="6"/>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US" sz="1800" b="1"/>
              <a:t>% Contribution</a:t>
            </a:r>
            <a:r>
              <a:rPr lang="en-US" sz="1800" b="1" baseline="0"/>
              <a:t> of AG and NAG to Total Gas Produced </a:t>
            </a:r>
            <a:endParaRPr lang="en-US" sz="1800" b="1"/>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'Exploratory Data Analysis'!$M$3</c:f>
              <c:strCache>
                <c:ptCount val="1"/>
                <c:pt idx="0">
                  <c:v>Associated Gas</c:v>
                </c:pt>
              </c:strCache>
            </c:strRef>
          </c:tx>
          <c:spPr>
            <a:solidFill>
              <a:schemeClr val="accent4">
                <a:lumMod val="75000"/>
              </a:schemeClr>
            </a:solidFill>
            <a:ln>
              <a:noFill/>
            </a:ln>
            <a:effectLst/>
          </c:spPr>
          <c:invertIfNegative val="0"/>
          <c:cat>
            <c:strRef>
              <c:f>'Exploratory Data Analysis'!$L$4:$L$9</c:f>
              <c:strCache>
                <c:ptCount val="5"/>
                <c:pt idx="0">
                  <c:v>2021</c:v>
                </c:pt>
                <c:pt idx="1">
                  <c:v>2022</c:v>
                </c:pt>
                <c:pt idx="2">
                  <c:v>2023</c:v>
                </c:pt>
                <c:pt idx="3">
                  <c:v>2024</c:v>
                </c:pt>
                <c:pt idx="4">
                  <c:v>2025</c:v>
                </c:pt>
              </c:strCache>
            </c:strRef>
          </c:cat>
          <c:val>
            <c:numRef>
              <c:f>'Exploratory Data Analysis'!$M$4:$M$9</c:f>
              <c:numCache>
                <c:formatCode>_-* #,##0_-;\-* #,##0_-;_-* "-"??_-;_-@_-</c:formatCode>
                <c:ptCount val="5"/>
                <c:pt idx="0">
                  <c:v>1459589.1294893441</c:v>
                </c:pt>
                <c:pt idx="1">
                  <c:v>1429626.1234078114</c:v>
                </c:pt>
                <c:pt idx="2">
                  <c:v>1506769.9443520817</c:v>
                </c:pt>
                <c:pt idx="3">
                  <c:v>1440742.4845176693</c:v>
                </c:pt>
                <c:pt idx="4">
                  <c:v>729616.52917515649</c:v>
                </c:pt>
              </c:numCache>
            </c:numRef>
          </c:val>
          <c:extLst>
            <c:ext xmlns:c16="http://schemas.microsoft.com/office/drawing/2014/chart" uri="{C3380CC4-5D6E-409C-BE32-E72D297353CC}">
              <c16:uniqueId val="{00000000-659A-47A0-B784-EABBB0770F12}"/>
            </c:ext>
          </c:extLst>
        </c:ser>
        <c:ser>
          <c:idx val="1"/>
          <c:order val="1"/>
          <c:tx>
            <c:strRef>
              <c:f>'Exploratory Data Analysis'!$N$3</c:f>
              <c:strCache>
                <c:ptCount val="1"/>
                <c:pt idx="0">
                  <c:v>Non-Associated Gas</c:v>
                </c:pt>
              </c:strCache>
            </c:strRef>
          </c:tx>
          <c:spPr>
            <a:solidFill>
              <a:schemeClr val="accent4">
                <a:lumMod val="60000"/>
                <a:lumOff val="40000"/>
              </a:schemeClr>
            </a:solidFill>
            <a:ln>
              <a:noFill/>
            </a:ln>
            <a:effectLst/>
          </c:spPr>
          <c:invertIfNegative val="0"/>
          <c:cat>
            <c:strRef>
              <c:f>'Exploratory Data Analysis'!$L$4:$L$9</c:f>
              <c:strCache>
                <c:ptCount val="5"/>
                <c:pt idx="0">
                  <c:v>2021</c:v>
                </c:pt>
                <c:pt idx="1">
                  <c:v>2022</c:v>
                </c:pt>
                <c:pt idx="2">
                  <c:v>2023</c:v>
                </c:pt>
                <c:pt idx="3">
                  <c:v>2024</c:v>
                </c:pt>
                <c:pt idx="4">
                  <c:v>2025</c:v>
                </c:pt>
              </c:strCache>
            </c:strRef>
          </c:cat>
          <c:val>
            <c:numRef>
              <c:f>'Exploratory Data Analysis'!$N$4:$N$9</c:f>
              <c:numCache>
                <c:formatCode>_-* #,##0_-;\-* #,##0_-;_-* "-"??_-;_-@_-</c:formatCode>
                <c:ptCount val="5"/>
                <c:pt idx="0">
                  <c:v>1284723.6646743845</c:v>
                </c:pt>
                <c:pt idx="1">
                  <c:v>1091615.7969021995</c:v>
                </c:pt>
                <c:pt idx="2">
                  <c:v>984711.54456551711</c:v>
                </c:pt>
                <c:pt idx="3">
                  <c:v>1067585.0221197512</c:v>
                </c:pt>
                <c:pt idx="4">
                  <c:v>643319.92700680264</c:v>
                </c:pt>
              </c:numCache>
            </c:numRef>
          </c:val>
          <c:extLst>
            <c:ext xmlns:c16="http://schemas.microsoft.com/office/drawing/2014/chart" uri="{C3380CC4-5D6E-409C-BE32-E72D297353CC}">
              <c16:uniqueId val="{00000001-659A-47A0-B784-EABBB0770F12}"/>
            </c:ext>
          </c:extLst>
        </c:ser>
        <c:dLbls>
          <c:showLegendKey val="0"/>
          <c:showVal val="0"/>
          <c:showCatName val="0"/>
          <c:showSerName val="0"/>
          <c:showPercent val="0"/>
          <c:showBubbleSize val="0"/>
        </c:dLbls>
        <c:gapWidth val="150"/>
        <c:overlap val="100"/>
        <c:axId val="799666400"/>
        <c:axId val="799695680"/>
      </c:barChart>
      <c:catAx>
        <c:axId val="799666400"/>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799695680"/>
        <c:crosses val="autoZero"/>
        <c:auto val="1"/>
        <c:lblAlgn val="ctr"/>
        <c:lblOffset val="100"/>
        <c:noMultiLvlLbl val="0"/>
      </c:catAx>
      <c:valAx>
        <c:axId val="799695680"/>
        <c:scaling>
          <c:orientation val="minMax"/>
        </c:scaling>
        <c:delete val="0"/>
        <c:axPos val="t"/>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79966640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[Nigeria Gas Production Dashboard.xlsx]Exploratory Data Analysis!PivotTable4</c:name>
    <c:fmtId val="8"/>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a:t>% Gas Utilization</a:t>
            </a:r>
            <a:r>
              <a:rPr lang="en-US" sz="1800" b="1" baseline="0"/>
              <a:t> per Category</a:t>
            </a:r>
            <a:endParaRPr lang="en-US" sz="1800" b="1"/>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4">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4">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'Exploratory Data Analysis'!$R$3</c:f>
              <c:strCache>
                <c:ptCount val="1"/>
                <c:pt idx="0">
                  <c:v>Exported Sale</c:v>
                </c:pt>
              </c:strCache>
            </c:strRef>
          </c:tx>
          <c:spPr>
            <a:solidFill>
              <a:schemeClr val="accent4">
                <a:lumMod val="50000"/>
              </a:schemeClr>
            </a:solidFill>
            <a:ln>
              <a:noFill/>
            </a:ln>
            <a:effectLst/>
          </c:spPr>
          <c:invertIfNegative val="0"/>
          <c:cat>
            <c:strRef>
              <c:f>'Exploratory Data Analysis'!$Q$4:$Q$9</c:f>
              <c:strCache>
                <c:ptCount val="5"/>
                <c:pt idx="0">
                  <c:v>2021</c:v>
                </c:pt>
                <c:pt idx="1">
                  <c:v>2022</c:v>
                </c:pt>
                <c:pt idx="2">
                  <c:v>2023</c:v>
                </c:pt>
                <c:pt idx="3">
                  <c:v>2024</c:v>
                </c:pt>
                <c:pt idx="4">
                  <c:v>2025</c:v>
                </c:pt>
              </c:strCache>
            </c:strRef>
          </c:cat>
          <c:val>
            <c:numRef>
              <c:f>'Exploratory Data Analysis'!$R$4:$R$9</c:f>
              <c:numCache>
                <c:formatCode>_-* #,##0_-;\-* #,##0_-;_-* "-"??_-;_-@_-</c:formatCode>
                <c:ptCount val="5"/>
                <c:pt idx="0">
                  <c:v>1138645.0146065929</c:v>
                </c:pt>
                <c:pt idx="1">
                  <c:v>999251.38178373384</c:v>
                </c:pt>
                <c:pt idx="2">
                  <c:v>847754.56106675544</c:v>
                </c:pt>
                <c:pt idx="3">
                  <c:v>905341.93950426835</c:v>
                </c:pt>
                <c:pt idx="4">
                  <c:v>481066.77310096694</c:v>
                </c:pt>
              </c:numCache>
            </c:numRef>
          </c:val>
          <c:extLst>
            <c:ext xmlns:c16="http://schemas.microsoft.com/office/drawing/2014/chart" uri="{C3380CC4-5D6E-409C-BE32-E72D297353CC}">
              <c16:uniqueId val="{00000000-0DB6-49F9-A448-41BD1DF44A77}"/>
            </c:ext>
          </c:extLst>
        </c:ser>
        <c:ser>
          <c:idx val="1"/>
          <c:order val="1"/>
          <c:tx>
            <c:strRef>
              <c:f>'Exploratory Data Analysis'!$S$3</c:f>
              <c:strCache>
                <c:ptCount val="1"/>
                <c:pt idx="0">
                  <c:v>Field Usage</c:v>
                </c:pt>
              </c:strCache>
            </c:strRef>
          </c:tx>
          <c:spPr>
            <a:solidFill>
              <a:schemeClr val="accent4"/>
            </a:solidFill>
            <a:ln>
              <a:noFill/>
            </a:ln>
            <a:effectLst/>
          </c:spPr>
          <c:invertIfNegative val="0"/>
          <c:cat>
            <c:strRef>
              <c:f>'Exploratory Data Analysis'!$Q$4:$Q$9</c:f>
              <c:strCache>
                <c:ptCount val="5"/>
                <c:pt idx="0">
                  <c:v>2021</c:v>
                </c:pt>
                <c:pt idx="1">
                  <c:v>2022</c:v>
                </c:pt>
                <c:pt idx="2">
                  <c:v>2023</c:v>
                </c:pt>
                <c:pt idx="3">
                  <c:v>2024</c:v>
                </c:pt>
                <c:pt idx="4">
                  <c:v>2025</c:v>
                </c:pt>
              </c:strCache>
            </c:strRef>
          </c:cat>
          <c:val>
            <c:numRef>
              <c:f>'Exploratory Data Analysis'!$S$4:$S$9</c:f>
              <c:numCache>
                <c:formatCode>_-* #,##0_-;\-* #,##0_-;_-* "-"??_-;_-@_-</c:formatCode>
                <c:ptCount val="5"/>
                <c:pt idx="0">
                  <c:v>759483.249793433</c:v>
                </c:pt>
                <c:pt idx="1">
                  <c:v>754791.44250270748</c:v>
                </c:pt>
                <c:pt idx="2">
                  <c:v>803991.82383628655</c:v>
                </c:pt>
                <c:pt idx="3">
                  <c:v>733939.40780028095</c:v>
                </c:pt>
                <c:pt idx="4">
                  <c:v>408276.59868635231</c:v>
                </c:pt>
              </c:numCache>
            </c:numRef>
          </c:val>
          <c:extLst>
            <c:ext xmlns:c16="http://schemas.microsoft.com/office/drawing/2014/chart" uri="{C3380CC4-5D6E-409C-BE32-E72D297353CC}">
              <c16:uniqueId val="{00000001-0DB6-49F9-A448-41BD1DF44A77}"/>
            </c:ext>
          </c:extLst>
        </c:ser>
        <c:ser>
          <c:idx val="2"/>
          <c:order val="2"/>
          <c:tx>
            <c:strRef>
              <c:f>'Exploratory Data Analysis'!$T$3</c:f>
              <c:strCache>
                <c:ptCount val="1"/>
                <c:pt idx="0">
                  <c:v>Domestic Sale</c:v>
                </c:pt>
              </c:strCache>
            </c:strRef>
          </c:tx>
          <c:spPr>
            <a:solidFill>
              <a:schemeClr val="accent4">
                <a:lumMod val="40000"/>
                <a:lumOff val="60000"/>
              </a:schemeClr>
            </a:solidFill>
            <a:ln>
              <a:noFill/>
            </a:ln>
            <a:effectLst/>
          </c:spPr>
          <c:invertIfNegative val="0"/>
          <c:cat>
            <c:strRef>
              <c:f>'Exploratory Data Analysis'!$Q$4:$Q$9</c:f>
              <c:strCache>
                <c:ptCount val="5"/>
                <c:pt idx="0">
                  <c:v>2021</c:v>
                </c:pt>
                <c:pt idx="1">
                  <c:v>2022</c:v>
                </c:pt>
                <c:pt idx="2">
                  <c:v>2023</c:v>
                </c:pt>
                <c:pt idx="3">
                  <c:v>2024</c:v>
                </c:pt>
                <c:pt idx="4">
                  <c:v>2025</c:v>
                </c:pt>
              </c:strCache>
            </c:strRef>
          </c:cat>
          <c:val>
            <c:numRef>
              <c:f>'Exploratory Data Analysis'!$T$4:$T$9</c:f>
              <c:numCache>
                <c:formatCode>_-* #,##0_-;\-* #,##0_-;_-* "-"??_-;_-@_-</c:formatCode>
                <c:ptCount val="5"/>
                <c:pt idx="0">
                  <c:v>580892.50733069214</c:v>
                </c:pt>
                <c:pt idx="1">
                  <c:v>569328.57705075317</c:v>
                </c:pt>
                <c:pt idx="2">
                  <c:v>649929.59155797178</c:v>
                </c:pt>
                <c:pt idx="3">
                  <c:v>673644.81342990976</c:v>
                </c:pt>
                <c:pt idx="4">
                  <c:v>370661.95034483162</c:v>
                </c:pt>
              </c:numCache>
            </c:numRef>
          </c:val>
          <c:extLst>
            <c:ext xmlns:c16="http://schemas.microsoft.com/office/drawing/2014/chart" uri="{C3380CC4-5D6E-409C-BE32-E72D297353CC}">
              <c16:uniqueId val="{00000002-0DB6-49F9-A448-41BD1DF44A77}"/>
            </c:ext>
          </c:extLst>
        </c:ser>
        <c:dLbls>
          <c:showLegendKey val="0"/>
          <c:showVal val="0"/>
          <c:showCatName val="0"/>
          <c:showSerName val="0"/>
          <c:showPercent val="0"/>
          <c:showBubbleSize val="0"/>
        </c:dLbls>
        <c:gapWidth val="150"/>
        <c:overlap val="100"/>
        <c:axId val="799703360"/>
        <c:axId val="799711520"/>
      </c:barChart>
      <c:catAx>
        <c:axId val="799703360"/>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799711520"/>
        <c:crosses val="autoZero"/>
        <c:auto val="1"/>
        <c:lblAlgn val="ctr"/>
        <c:lblOffset val="100"/>
        <c:noMultiLvlLbl val="0"/>
      </c:catAx>
      <c:valAx>
        <c:axId val="799711520"/>
        <c:scaling>
          <c:orientation val="minMax"/>
        </c:scaling>
        <c:delete val="0"/>
        <c:axPos val="t"/>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79970336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[Nigeria Gas Production Dashboard.xlsx]Exploratory Data Analysis!PivotTable5</c:name>
    <c:fmtId val="15"/>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baseline="0"/>
              <a:t>Gas Flaring Trend (MMSCF)</a:t>
            </a:r>
            <a:endParaRPr lang="en-US" sz="1800" b="1"/>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FF0000"/>
            </a:solidFill>
            <a:round/>
          </a:ln>
          <a:effectLst/>
        </c:spPr>
        <c:marker>
          <c:symbol val="none"/>
        </c:marker>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0000"/>
            </a:solidFill>
            <a:round/>
          </a:ln>
          <a:effectLst/>
        </c:spPr>
        <c:marker>
          <c:symbol val="none"/>
        </c:marker>
      </c:pivotFmt>
      <c:pivotFmt>
        <c:idx val="4"/>
        <c:spPr>
          <a:ln w="50800" cap="rnd">
            <a:solidFill>
              <a:schemeClr val="accent4">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50800" cap="rnd">
            <a:solidFill>
              <a:schemeClr val="accent4">
                <a:lumMod val="50000"/>
              </a:schemeClr>
            </a:solidFill>
            <a:round/>
          </a:ln>
          <a:effectLst/>
        </c:spPr>
        <c:marker>
          <c:symbol val="none"/>
        </c:marker>
      </c:pivotFmt>
    </c:pivotFmts>
    <c:plotArea>
      <c:layout/>
      <c:lineChart>
        <c:grouping val="standard"/>
        <c:varyColors val="0"/>
        <c:ser>
          <c:idx val="0"/>
          <c:order val="0"/>
          <c:tx>
            <c:strRef>
              <c:f>'Exploratory Data Analysis'!$X$3</c:f>
              <c:strCache>
                <c:ptCount val="1"/>
                <c:pt idx="0">
                  <c:v>Total</c:v>
                </c:pt>
              </c:strCache>
            </c:strRef>
          </c:tx>
          <c:spPr>
            <a:ln w="50800" cap="rnd">
              <a:solidFill>
                <a:schemeClr val="accent4">
                  <a:lumMod val="50000"/>
                </a:schemeClr>
              </a:solidFill>
              <a:round/>
            </a:ln>
            <a:effectLst/>
          </c:spPr>
          <c:marker>
            <c:symbol val="none"/>
          </c:marker>
          <c:dPt>
            <c:idx val="4"/>
            <c:marker>
              <c:symbol val="none"/>
            </c:marker>
            <c:bubble3D val="0"/>
            <c:spPr>
              <a:ln w="50800" cap="rnd">
                <a:solidFill>
                  <a:schemeClr val="accent4">
                    <a:lumMod val="50000"/>
                  </a:schemeClr>
                </a:solidFill>
                <a:round/>
              </a:ln>
              <a:effectLst/>
            </c:spPr>
            <c:extLst>
              <c:ext xmlns:c16="http://schemas.microsoft.com/office/drawing/2014/chart" uri="{C3380CC4-5D6E-409C-BE32-E72D297353CC}">
                <c16:uniqueId val="{00000001-ECBF-4EB5-8C75-E22ABE54085E}"/>
              </c:ext>
            </c:extLst>
          </c:dPt>
          <c:cat>
            <c:strRef>
              <c:f>'Exploratory Data Analysis'!$W$4:$W$9</c:f>
              <c:strCache>
                <c:ptCount val="5"/>
                <c:pt idx="0">
                  <c:v>2021</c:v>
                </c:pt>
                <c:pt idx="1">
                  <c:v>2022</c:v>
                </c:pt>
                <c:pt idx="2">
                  <c:v>2023</c:v>
                </c:pt>
                <c:pt idx="3">
                  <c:v>2024</c:v>
                </c:pt>
                <c:pt idx="4">
                  <c:v>2025</c:v>
                </c:pt>
              </c:strCache>
            </c:strRef>
          </c:cat>
          <c:val>
            <c:numRef>
              <c:f>'Exploratory Data Analysis'!$X$4:$X$9</c:f>
              <c:numCache>
                <c:formatCode>0.00</c:formatCode>
                <c:ptCount val="5"/>
                <c:pt idx="0">
                  <c:v>252579.36364807896</c:v>
                </c:pt>
                <c:pt idx="1">
                  <c:v>188442.44374282187</c:v>
                </c:pt>
                <c:pt idx="2">
                  <c:v>183525.93094158146</c:v>
                </c:pt>
                <c:pt idx="3">
                  <c:v>192887.062937215</c:v>
                </c:pt>
                <c:pt idx="4">
                  <c:v>101417.42694348963</c:v>
                </c:pt>
              </c:numCache>
            </c:numRef>
          </c:val>
          <c:smooth val="1"/>
          <c:extLst>
            <c:ext xmlns:c16="http://schemas.microsoft.com/office/drawing/2014/chart" uri="{C3380CC4-5D6E-409C-BE32-E72D297353CC}">
              <c16:uniqueId val="{00000002-ECBF-4EB5-8C75-E22ABE54085E}"/>
            </c:ext>
          </c:extLst>
        </c:ser>
        <c:dLbls>
          <c:showLegendKey val="0"/>
          <c:showVal val="0"/>
          <c:showCatName val="0"/>
          <c:showSerName val="0"/>
          <c:showPercent val="0"/>
          <c:showBubbleSize val="0"/>
        </c:dLbls>
        <c:smooth val="0"/>
        <c:axId val="820317776"/>
        <c:axId val="820309136"/>
      </c:lineChart>
      <c:catAx>
        <c:axId val="820317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0309136"/>
        <c:crosses val="autoZero"/>
        <c:auto val="1"/>
        <c:lblAlgn val="ctr"/>
        <c:lblOffset val="100"/>
        <c:noMultiLvlLbl val="0"/>
      </c:catAx>
      <c:valAx>
        <c:axId val="820309136"/>
        <c:scaling>
          <c:orientation val="minMax"/>
        </c:scaling>
        <c:delete val="0"/>
        <c:axPos val="l"/>
        <c:majorGridlines>
          <c:spPr>
            <a:ln w="9525" cap="flat" cmpd="sng" algn="ctr">
              <a:solidFill>
                <a:schemeClr val="bg1">
                  <a:lumMod val="95000"/>
                </a:schemeClr>
              </a:solidFill>
              <a:round/>
            </a:ln>
            <a:effectLst/>
          </c:spPr>
        </c:majorGridlines>
        <c:numFmt formatCode="0.0\ \K" sourceLinked="0"/>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820317776"/>
        <c:crosses val="autoZero"/>
        <c:crossBetween val="between"/>
        <c:dispUnits>
          <c:builtInUnit val="thousands"/>
        </c:dispUnits>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[Nigeria Gas Production Dashboard.xlsx]Exploratory Data Analysis!PivotTable6</c:name>
    <c:fmtId val="17"/>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a:t>Gas Utilization</a:t>
            </a:r>
            <a:r>
              <a:rPr lang="en-US" sz="1800" b="1" baseline="0"/>
              <a:t> Trend (MMSCF)</a:t>
            </a:r>
            <a:endParaRPr lang="en-US" sz="1800" b="1"/>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rgbClr val="FF0000"/>
            </a:solidFill>
            <a:round/>
          </a:ln>
          <a:effectLst/>
        </c:spPr>
      </c:pivotFmt>
      <c:pivotFmt>
        <c:idx val="2"/>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w="28575" cap="rnd">
            <a:solidFill>
              <a:srgbClr val="FF0000"/>
            </a:solidFill>
            <a:round/>
          </a:ln>
          <a:effectLst/>
        </c:spPr>
      </c:pivotFmt>
      <c:pivotFmt>
        <c:idx val="4"/>
        <c:spPr>
          <a:ln w="50800" cap="rnd">
            <a:solidFill>
              <a:schemeClr val="accent4">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50800" cap="rnd">
            <a:solidFill>
              <a:schemeClr val="accent4">
                <a:lumMod val="50000"/>
              </a:schemeClr>
            </a:solidFill>
            <a:round/>
          </a:ln>
          <a:effectLst/>
        </c:spPr>
        <c:marker>
          <c:symbol val="none"/>
        </c:marker>
      </c:pivotFmt>
    </c:pivotFmts>
    <c:plotArea>
      <c:layout/>
      <c:lineChart>
        <c:grouping val="standard"/>
        <c:varyColors val="0"/>
        <c:ser>
          <c:idx val="0"/>
          <c:order val="0"/>
          <c:tx>
            <c:strRef>
              <c:f>'Exploratory Data Analysis'!$AB$3</c:f>
              <c:strCache>
                <c:ptCount val="1"/>
                <c:pt idx="0">
                  <c:v>Total</c:v>
                </c:pt>
              </c:strCache>
            </c:strRef>
          </c:tx>
          <c:spPr>
            <a:ln w="50800" cap="rnd">
              <a:solidFill>
                <a:schemeClr val="accent4">
                  <a:lumMod val="50000"/>
                </a:schemeClr>
              </a:solidFill>
              <a:round/>
            </a:ln>
            <a:effectLst/>
          </c:spPr>
          <c:marker>
            <c:symbol val="none"/>
          </c:marker>
          <c:dPt>
            <c:idx val="4"/>
            <c:marker>
              <c:symbol val="none"/>
            </c:marker>
            <c:bubble3D val="0"/>
            <c:spPr>
              <a:ln w="50800" cap="rnd">
                <a:solidFill>
                  <a:schemeClr val="accent4">
                    <a:lumMod val="50000"/>
                  </a:schemeClr>
                </a:solidFill>
                <a:round/>
              </a:ln>
              <a:effectLst/>
            </c:spPr>
            <c:extLst>
              <c:ext xmlns:c16="http://schemas.microsoft.com/office/drawing/2014/chart" uri="{C3380CC4-5D6E-409C-BE32-E72D297353CC}">
                <c16:uniqueId val="{00000001-E955-486D-8950-583F2BF8F565}"/>
              </c:ext>
            </c:extLst>
          </c:dPt>
          <c:cat>
            <c:strRef>
              <c:f>'Exploratory Data Analysis'!$AA$4:$AA$9</c:f>
              <c:strCache>
                <c:ptCount val="5"/>
                <c:pt idx="0">
                  <c:v>2021</c:v>
                </c:pt>
                <c:pt idx="1">
                  <c:v>2022</c:v>
                </c:pt>
                <c:pt idx="2">
                  <c:v>2023</c:v>
                </c:pt>
                <c:pt idx="3">
                  <c:v>2024</c:v>
                </c:pt>
                <c:pt idx="4">
                  <c:v>2025</c:v>
                </c:pt>
              </c:strCache>
            </c:strRef>
          </c:cat>
          <c:val>
            <c:numRef>
              <c:f>'Exploratory Data Analysis'!$AB$4:$AB$9</c:f>
              <c:numCache>
                <c:formatCode>0.00</c:formatCode>
                <c:ptCount val="5"/>
                <c:pt idx="0">
                  <c:v>2479020.7717307182</c:v>
                </c:pt>
                <c:pt idx="1">
                  <c:v>2323371.4013371947</c:v>
                </c:pt>
                <c:pt idx="2">
                  <c:v>2301675.9764610142</c:v>
                </c:pt>
                <c:pt idx="3">
                  <c:v>2312926.1607344593</c:v>
                </c:pt>
                <c:pt idx="4">
                  <c:v>1260005.3221321506</c:v>
                </c:pt>
              </c:numCache>
            </c:numRef>
          </c:val>
          <c:smooth val="1"/>
          <c:extLst>
            <c:ext xmlns:c16="http://schemas.microsoft.com/office/drawing/2014/chart" uri="{C3380CC4-5D6E-409C-BE32-E72D297353CC}">
              <c16:uniqueId val="{00000002-E955-486D-8950-583F2BF8F565}"/>
            </c:ext>
          </c:extLst>
        </c:ser>
        <c:dLbls>
          <c:showLegendKey val="0"/>
          <c:showVal val="0"/>
          <c:showCatName val="0"/>
          <c:showSerName val="0"/>
          <c:showPercent val="0"/>
          <c:showBubbleSize val="0"/>
        </c:dLbls>
        <c:smooth val="0"/>
        <c:axId val="877390688"/>
        <c:axId val="877374368"/>
      </c:lineChart>
      <c:catAx>
        <c:axId val="877390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7374368"/>
        <c:crosses val="autoZero"/>
        <c:auto val="1"/>
        <c:lblAlgn val="ctr"/>
        <c:lblOffset val="100"/>
        <c:noMultiLvlLbl val="0"/>
      </c:catAx>
      <c:valAx>
        <c:axId val="877374368"/>
        <c:scaling>
          <c:orientation val="minMax"/>
        </c:scaling>
        <c:delete val="0"/>
        <c:axPos val="l"/>
        <c:majorGridlines>
          <c:spPr>
            <a:ln w="9525" cap="flat" cmpd="sng" algn="ctr">
              <a:solidFill>
                <a:schemeClr val="bg1">
                  <a:lumMod val="9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8773906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[Nigeria Gas Production Dashboard.xlsx]Exploratory Data Analysis!PivotTable7</c:name>
    <c:fmtId val="21"/>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a:t>Domestic</a:t>
            </a:r>
            <a:r>
              <a:rPr lang="en-US" sz="1800" b="1" baseline="0"/>
              <a:t> vs. Export Sales (MMSCF)</a:t>
            </a:r>
            <a:endParaRPr lang="en-US" sz="1800" b="1"/>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50800" cap="rnd">
            <a:solidFill>
              <a:schemeClr val="accent4">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50800" cap="rnd">
            <a:solidFill>
              <a:schemeClr val="accent4">
                <a:lumMod val="40000"/>
                <a:lumOff val="6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'Exploratory Data Analysis'!$AH$2</c:f>
              <c:strCache>
                <c:ptCount val="1"/>
                <c:pt idx="0">
                  <c:v>Exported Gas Sales</c:v>
                </c:pt>
              </c:strCache>
            </c:strRef>
          </c:tx>
          <c:spPr>
            <a:ln w="50800" cap="rnd">
              <a:solidFill>
                <a:schemeClr val="accent4">
                  <a:lumMod val="75000"/>
                </a:schemeClr>
              </a:solidFill>
              <a:round/>
            </a:ln>
            <a:effectLst/>
          </c:spPr>
          <c:marker>
            <c:symbol val="none"/>
          </c:marker>
          <c:cat>
            <c:strRef>
              <c:f>'Exploratory Data Analysis'!$AG$3:$AG$8</c:f>
              <c:strCache>
                <c:ptCount val="5"/>
                <c:pt idx="0">
                  <c:v>2021</c:v>
                </c:pt>
                <c:pt idx="1">
                  <c:v>2022</c:v>
                </c:pt>
                <c:pt idx="2">
                  <c:v>2023</c:v>
                </c:pt>
                <c:pt idx="3">
                  <c:v>2024</c:v>
                </c:pt>
                <c:pt idx="4">
                  <c:v>2025</c:v>
                </c:pt>
              </c:strCache>
            </c:strRef>
          </c:cat>
          <c:val>
            <c:numRef>
              <c:f>'Exploratory Data Analysis'!$AH$3:$AH$8</c:f>
              <c:numCache>
                <c:formatCode>0.00</c:formatCode>
                <c:ptCount val="5"/>
                <c:pt idx="0">
                  <c:v>1138645.0146065929</c:v>
                </c:pt>
                <c:pt idx="1">
                  <c:v>999251.38178373384</c:v>
                </c:pt>
                <c:pt idx="2">
                  <c:v>847754.56106675544</c:v>
                </c:pt>
                <c:pt idx="3">
                  <c:v>905341.93950426835</c:v>
                </c:pt>
                <c:pt idx="4">
                  <c:v>481066.77310096694</c:v>
                </c:pt>
              </c:numCache>
            </c:numRef>
          </c:val>
          <c:smooth val="1"/>
          <c:extLst>
            <c:ext xmlns:c16="http://schemas.microsoft.com/office/drawing/2014/chart" uri="{C3380CC4-5D6E-409C-BE32-E72D297353CC}">
              <c16:uniqueId val="{00000000-5212-494C-AA03-B76469BF98EF}"/>
            </c:ext>
          </c:extLst>
        </c:ser>
        <c:ser>
          <c:idx val="1"/>
          <c:order val="1"/>
          <c:tx>
            <c:strRef>
              <c:f>'Exploratory Data Analysis'!$AI$2</c:f>
              <c:strCache>
                <c:ptCount val="1"/>
                <c:pt idx="0">
                  <c:v>Domestic Gas Sales</c:v>
                </c:pt>
              </c:strCache>
            </c:strRef>
          </c:tx>
          <c:spPr>
            <a:ln w="50800" cap="rnd">
              <a:solidFill>
                <a:schemeClr val="accent4">
                  <a:lumMod val="40000"/>
                  <a:lumOff val="60000"/>
                </a:schemeClr>
              </a:solidFill>
              <a:round/>
            </a:ln>
            <a:effectLst/>
          </c:spPr>
          <c:marker>
            <c:symbol val="none"/>
          </c:marker>
          <c:cat>
            <c:strRef>
              <c:f>'Exploratory Data Analysis'!$AG$3:$AG$8</c:f>
              <c:strCache>
                <c:ptCount val="5"/>
                <c:pt idx="0">
                  <c:v>2021</c:v>
                </c:pt>
                <c:pt idx="1">
                  <c:v>2022</c:v>
                </c:pt>
                <c:pt idx="2">
                  <c:v>2023</c:v>
                </c:pt>
                <c:pt idx="3">
                  <c:v>2024</c:v>
                </c:pt>
                <c:pt idx="4">
                  <c:v>2025</c:v>
                </c:pt>
              </c:strCache>
            </c:strRef>
          </c:cat>
          <c:val>
            <c:numRef>
              <c:f>'Exploratory Data Analysis'!$AI$3:$AI$8</c:f>
              <c:numCache>
                <c:formatCode>0.00</c:formatCode>
                <c:ptCount val="5"/>
                <c:pt idx="0">
                  <c:v>580892.50733069214</c:v>
                </c:pt>
                <c:pt idx="1">
                  <c:v>569328.57705075317</c:v>
                </c:pt>
                <c:pt idx="2">
                  <c:v>649929.59155797178</c:v>
                </c:pt>
                <c:pt idx="3">
                  <c:v>673644.81342990976</c:v>
                </c:pt>
                <c:pt idx="4">
                  <c:v>370661.95034483162</c:v>
                </c:pt>
              </c:numCache>
            </c:numRef>
          </c:val>
          <c:smooth val="1"/>
          <c:extLst>
            <c:ext xmlns:c16="http://schemas.microsoft.com/office/drawing/2014/chart" uri="{C3380CC4-5D6E-409C-BE32-E72D297353CC}">
              <c16:uniqueId val="{00000001-5212-494C-AA03-B76469BF98EF}"/>
            </c:ext>
          </c:extLst>
        </c:ser>
        <c:dLbls>
          <c:showLegendKey val="0"/>
          <c:showVal val="0"/>
          <c:showCatName val="0"/>
          <c:showSerName val="0"/>
          <c:showPercent val="0"/>
          <c:showBubbleSize val="0"/>
        </c:dLbls>
        <c:smooth val="0"/>
        <c:axId val="799708640"/>
        <c:axId val="799700480"/>
      </c:lineChart>
      <c:catAx>
        <c:axId val="799708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9700480"/>
        <c:crosses val="autoZero"/>
        <c:auto val="1"/>
        <c:lblAlgn val="ctr"/>
        <c:lblOffset val="100"/>
        <c:noMultiLvlLbl val="0"/>
      </c:catAx>
      <c:valAx>
        <c:axId val="799700480"/>
        <c:scaling>
          <c:orientation val="minMax"/>
        </c:scaling>
        <c:delete val="0"/>
        <c:axPos val="l"/>
        <c:majorGridlines>
          <c:spPr>
            <a:ln w="9525" cap="flat" cmpd="sng" algn="ctr">
              <a:solidFill>
                <a:schemeClr val="bg1">
                  <a:lumMod val="9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79970864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[Nigeria Gas Production Dashboard.xlsx]Exploratory Data Analysis!PivotTable3</c:name>
    <c:fmtId val="28"/>
  </c:pivotSource>
  <c:chart>
    <c:autoTitleDeleted val="1"/>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'Exploratory Data Analysis'!$AN$2</c:f>
              <c:strCache>
                <c:ptCount val="1"/>
                <c:pt idx="0">
                  <c:v>Total</c:v>
                </c:pt>
              </c:strCache>
            </c:strRef>
          </c:tx>
          <c:spPr>
            <a:solidFill>
              <a:schemeClr val="accent4"/>
            </a:solidFill>
            <a:ln>
              <a:noFill/>
            </a:ln>
            <a:effectLst/>
          </c:spPr>
          <c:invertIfNegative val="0"/>
          <c:cat>
            <c:strRef>
              <c:f>'Exploratory Data Analysis'!$AM$3:$AM$8</c:f>
              <c:strCache>
                <c:ptCount val="5"/>
                <c:pt idx="0">
                  <c:v>2021</c:v>
                </c:pt>
                <c:pt idx="1">
                  <c:v>2022</c:v>
                </c:pt>
                <c:pt idx="2">
                  <c:v>2023</c:v>
                </c:pt>
                <c:pt idx="3">
                  <c:v>2024</c:v>
                </c:pt>
                <c:pt idx="4">
                  <c:v>2025</c:v>
                </c:pt>
              </c:strCache>
            </c:strRef>
          </c:cat>
          <c:val>
            <c:numRef>
              <c:f>'Exploratory Data Analysis'!$AN$3:$AN$8</c:f>
              <c:numCache>
                <c:formatCode>_-* #,##0_-;\-* #,##0_-;_-* "-"??_-;_-@_-</c:formatCode>
                <c:ptCount val="5"/>
                <c:pt idx="0">
                  <c:v>2744312.7941637281</c:v>
                </c:pt>
                <c:pt idx="1">
                  <c:v>2521241.9203100116</c:v>
                </c:pt>
                <c:pt idx="2">
                  <c:v>2491481.488917599</c:v>
                </c:pt>
                <c:pt idx="3">
                  <c:v>2508275.6407274203</c:v>
                </c:pt>
                <c:pt idx="4">
                  <c:v>1372671.1353419595</c:v>
                </c:pt>
              </c:numCache>
            </c:numRef>
          </c:val>
          <c:extLst>
            <c:ext xmlns:c16="http://schemas.microsoft.com/office/drawing/2014/chart" uri="{C3380CC4-5D6E-409C-BE32-E72D297353CC}">
              <c16:uniqueId val="{00000000-4F10-408A-9281-61CC41FEA409}"/>
            </c:ext>
          </c:extLst>
        </c:ser>
        <c:dLbls>
          <c:showLegendKey val="0"/>
          <c:showVal val="0"/>
          <c:showCatName val="0"/>
          <c:showSerName val="0"/>
          <c:showPercent val="0"/>
          <c:showBubbleSize val="0"/>
        </c:dLbls>
        <c:gapWidth val="150"/>
        <c:axId val="2120830111"/>
        <c:axId val="2120854591"/>
      </c:barChart>
      <c:catAx>
        <c:axId val="2120830111"/>
        <c:scaling>
          <c:orientation val="minMax"/>
        </c:scaling>
        <c:delete val="0"/>
        <c:axPos val="b"/>
        <c:numFmt formatCode="General" sourceLinked="1"/>
        <c:majorTickMark val="none"/>
        <c:minorTickMark val="none"/>
        <c:tickLblPos val="nextTo"/>
        <c:spPr>
          <a:noFill/>
          <a:ln w="3175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120854591"/>
        <c:crosses val="autoZero"/>
        <c:auto val="1"/>
        <c:lblAlgn val="ctr"/>
        <c:lblOffset val="100"/>
        <c:noMultiLvlLbl val="0"/>
      </c:catAx>
      <c:valAx>
        <c:axId val="2120854591"/>
        <c:scaling>
          <c:orientation val="minMax"/>
        </c:scaling>
        <c:delete val="1"/>
        <c:axPos val="l"/>
        <c:numFmt formatCode="_-* #,##0_-;\-* #,##0_-;_-* &quot;-&quot;??_-;_-@_-" sourceLinked="1"/>
        <c:majorTickMark val="none"/>
        <c:minorTickMark val="none"/>
        <c:tickLblPos val="nextTo"/>
        <c:crossAx val="21208301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[Nigeria Gas Production Dashboard.xlsx]Exploratory Data Analysis!PivotTable8</c:name>
    <c:fmtId val="39"/>
  </c:pivotSource>
  <c:chart>
    <c:autoTitleDeleted val="1"/>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'Exploratory Data Analysis'!$AQ$2</c:f>
              <c:strCache>
                <c:ptCount val="1"/>
                <c:pt idx="0">
                  <c:v>Total</c:v>
                </c:pt>
              </c:strCache>
            </c:strRef>
          </c:tx>
          <c:spPr>
            <a:solidFill>
              <a:schemeClr val="accent4"/>
            </a:solidFill>
            <a:ln>
              <a:noFill/>
            </a:ln>
            <a:effectLst/>
          </c:spPr>
          <c:invertIfNegative val="0"/>
          <c:cat>
            <c:strRef>
              <c:f>'Exploratory Data Analysis'!$AP$3:$AP$8</c:f>
              <c:strCache>
                <c:ptCount val="5"/>
                <c:pt idx="0">
                  <c:v>2021</c:v>
                </c:pt>
                <c:pt idx="1">
                  <c:v>2022</c:v>
                </c:pt>
                <c:pt idx="2">
                  <c:v>2023</c:v>
                </c:pt>
                <c:pt idx="3">
                  <c:v>2024</c:v>
                </c:pt>
                <c:pt idx="4">
                  <c:v>2025</c:v>
                </c:pt>
              </c:strCache>
            </c:strRef>
          </c:cat>
          <c:val>
            <c:numRef>
              <c:f>'Exploratory Data Analysis'!$AQ$3:$AQ$8</c:f>
              <c:numCache>
                <c:formatCode>_-* #,##0_-;\-* #,##0_-;_-* "-"??_-;_-@_-</c:formatCode>
                <c:ptCount val="5"/>
                <c:pt idx="0">
                  <c:v>2479020.7717307182</c:v>
                </c:pt>
                <c:pt idx="1">
                  <c:v>2323371.4013371947</c:v>
                </c:pt>
                <c:pt idx="2">
                  <c:v>2301675.9764610142</c:v>
                </c:pt>
                <c:pt idx="3">
                  <c:v>2312926.1607344593</c:v>
                </c:pt>
                <c:pt idx="4">
                  <c:v>1260005.3221321506</c:v>
                </c:pt>
              </c:numCache>
            </c:numRef>
          </c:val>
          <c:extLst>
            <c:ext xmlns:c16="http://schemas.microsoft.com/office/drawing/2014/chart" uri="{C3380CC4-5D6E-409C-BE32-E72D297353CC}">
              <c16:uniqueId val="{00000000-5830-4BCD-9448-1D0967E89D0C}"/>
            </c:ext>
          </c:extLst>
        </c:ser>
        <c:dLbls>
          <c:showLegendKey val="0"/>
          <c:showVal val="0"/>
          <c:showCatName val="0"/>
          <c:showSerName val="0"/>
          <c:showPercent val="0"/>
          <c:showBubbleSize val="0"/>
        </c:dLbls>
        <c:gapWidth val="219"/>
        <c:overlap val="-27"/>
        <c:axId val="60815343"/>
        <c:axId val="60805263"/>
      </c:barChart>
      <c:catAx>
        <c:axId val="60815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0805263"/>
        <c:crosses val="autoZero"/>
        <c:auto val="1"/>
        <c:lblAlgn val="ctr"/>
        <c:lblOffset val="100"/>
        <c:noMultiLvlLbl val="0"/>
      </c:catAx>
      <c:valAx>
        <c:axId val="60805263"/>
        <c:scaling>
          <c:orientation val="minMax"/>
        </c:scaling>
        <c:delete val="1"/>
        <c:axPos val="l"/>
        <c:numFmt formatCode="_-* #,##0_-;\-* #,##0_-;_-* &quot;-&quot;??_-;_-@_-" sourceLinked="1"/>
        <c:majorTickMark val="none"/>
        <c:minorTickMark val="none"/>
        <c:tickLblPos val="nextTo"/>
        <c:crossAx val="608153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[Nigeria Gas Production Dashboard.xlsx]Exploratory Data Analysis!PivotTable9</c:name>
    <c:fmtId val="47"/>
  </c:pivotSource>
  <c:chart>
    <c:autoTitleDeleted val="1"/>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'Exploratory Data Analysis'!$AT$2</c:f>
              <c:strCache>
                <c:ptCount val="1"/>
                <c:pt idx="0">
                  <c:v>Total</c:v>
                </c:pt>
              </c:strCache>
            </c:strRef>
          </c:tx>
          <c:spPr>
            <a:solidFill>
              <a:schemeClr val="accent4"/>
            </a:solidFill>
            <a:ln>
              <a:noFill/>
            </a:ln>
            <a:effectLst/>
          </c:spPr>
          <c:invertIfNegative val="0"/>
          <c:cat>
            <c:strRef>
              <c:f>'Exploratory Data Analysis'!$AS$3:$AS$8</c:f>
              <c:strCache>
                <c:ptCount val="5"/>
                <c:pt idx="0">
                  <c:v>2021</c:v>
                </c:pt>
                <c:pt idx="1">
                  <c:v>2022</c:v>
                </c:pt>
                <c:pt idx="2">
                  <c:v>2023</c:v>
                </c:pt>
                <c:pt idx="3">
                  <c:v>2024</c:v>
                </c:pt>
                <c:pt idx="4">
                  <c:v>2025</c:v>
                </c:pt>
              </c:strCache>
            </c:strRef>
          </c:cat>
          <c:val>
            <c:numRef>
              <c:f>'Exploratory Data Analysis'!$AT$3:$AT$8</c:f>
              <c:numCache>
                <c:formatCode>_-* #,##0_-;\-* #,##0_-;_-* "-"??_-;_-@_-</c:formatCode>
                <c:ptCount val="5"/>
                <c:pt idx="0">
                  <c:v>252579.36364807896</c:v>
                </c:pt>
                <c:pt idx="1">
                  <c:v>188442.44374282187</c:v>
                </c:pt>
                <c:pt idx="2">
                  <c:v>183525.93094158146</c:v>
                </c:pt>
                <c:pt idx="3">
                  <c:v>192887.062937215</c:v>
                </c:pt>
                <c:pt idx="4">
                  <c:v>101417.42694348963</c:v>
                </c:pt>
              </c:numCache>
            </c:numRef>
          </c:val>
          <c:extLst>
            <c:ext xmlns:c16="http://schemas.microsoft.com/office/drawing/2014/chart" uri="{C3380CC4-5D6E-409C-BE32-E72D297353CC}">
              <c16:uniqueId val="{00000000-F68B-4467-AEE9-026262EA7B2A}"/>
            </c:ext>
          </c:extLst>
        </c:ser>
        <c:dLbls>
          <c:showLegendKey val="0"/>
          <c:showVal val="0"/>
          <c:showCatName val="0"/>
          <c:showSerName val="0"/>
          <c:showPercent val="0"/>
          <c:showBubbleSize val="0"/>
        </c:dLbls>
        <c:gapWidth val="219"/>
        <c:overlap val="-27"/>
        <c:axId val="298405791"/>
        <c:axId val="298401471"/>
      </c:barChart>
      <c:catAx>
        <c:axId val="298405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98401471"/>
        <c:crosses val="autoZero"/>
        <c:auto val="1"/>
        <c:lblAlgn val="ctr"/>
        <c:lblOffset val="100"/>
        <c:noMultiLvlLbl val="0"/>
      </c:catAx>
      <c:valAx>
        <c:axId val="298401471"/>
        <c:scaling>
          <c:orientation val="minMax"/>
        </c:scaling>
        <c:delete val="1"/>
        <c:axPos val="l"/>
        <c:numFmt formatCode="_-* #,##0_-;\-* #,##0_-;_-* &quot;-&quot;??_-;_-@_-" sourceLinked="1"/>
        <c:majorTickMark val="none"/>
        <c:minorTickMark val="none"/>
        <c:tickLblPos val="nextTo"/>
        <c:crossAx val="2984057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[Nigeria Gas Production Dashboard.xlsx]Exploratory Data Analysis!PivotTable10</c:name>
    <c:fmtId val="52"/>
  </c:pivotSource>
  <c:chart>
    <c:autoTitleDeleted val="1"/>
    <c:pivotFmts>
      <c:pivotFmt>
        <c:idx val="0"/>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'Exploratory Data Analysis'!$AW$2</c:f>
              <c:strCache>
                <c:ptCount val="1"/>
                <c:pt idx="0">
                  <c:v>Total</c:v>
                </c:pt>
              </c:strCache>
            </c:strRef>
          </c:tx>
          <c:spPr>
            <a:solidFill>
              <a:srgbClr val="7030A0"/>
            </a:solidFill>
            <a:ln>
              <a:noFill/>
            </a:ln>
            <a:effectLst/>
          </c:spPr>
          <c:invertIfNegative val="0"/>
          <c:cat>
            <c:strRef>
              <c:f>'Exploratory Data Analysis'!$AV$3:$AV$8</c:f>
              <c:strCache>
                <c:ptCount val="5"/>
                <c:pt idx="0">
                  <c:v>2021</c:v>
                </c:pt>
                <c:pt idx="1">
                  <c:v>2022</c:v>
                </c:pt>
                <c:pt idx="2">
                  <c:v>2023</c:v>
                </c:pt>
                <c:pt idx="3">
                  <c:v>2024</c:v>
                </c:pt>
                <c:pt idx="4">
                  <c:v>2025</c:v>
                </c:pt>
              </c:strCache>
            </c:strRef>
          </c:cat>
          <c:val>
            <c:numRef>
              <c:f>'Exploratory Data Analysis'!$AW$3:$AW$8</c:f>
              <c:numCache>
                <c:formatCode>_-* #,##0_-;\-* #,##0_-;_-* "-"??_-;_-@_-</c:formatCode>
                <c:ptCount val="5"/>
                <c:pt idx="0">
                  <c:v>12712.658784931236</c:v>
                </c:pt>
                <c:pt idx="1">
                  <c:v>9428.0752299940359</c:v>
                </c:pt>
                <c:pt idx="2">
                  <c:v>6397.2097127705601</c:v>
                </c:pt>
                <c:pt idx="3">
                  <c:v>2462.4170557463603</c:v>
                </c:pt>
                <c:pt idx="4">
                  <c:v>11248.38626631899</c:v>
                </c:pt>
              </c:numCache>
            </c:numRef>
          </c:val>
          <c:extLst>
            <c:ext xmlns:c16="http://schemas.microsoft.com/office/drawing/2014/chart" uri="{C3380CC4-5D6E-409C-BE32-E72D297353CC}">
              <c16:uniqueId val="{00000000-1698-4A5C-9474-A114D65D7EF3}"/>
            </c:ext>
          </c:extLst>
        </c:ser>
        <c:dLbls>
          <c:showLegendKey val="0"/>
          <c:showVal val="0"/>
          <c:showCatName val="0"/>
          <c:showSerName val="0"/>
          <c:showPercent val="0"/>
          <c:showBubbleSize val="0"/>
        </c:dLbls>
        <c:gapWidth val="219"/>
        <c:overlap val="-27"/>
        <c:axId val="298508031"/>
        <c:axId val="298495071"/>
      </c:barChart>
      <c:catAx>
        <c:axId val="298508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98495071"/>
        <c:crosses val="autoZero"/>
        <c:auto val="1"/>
        <c:lblAlgn val="ctr"/>
        <c:lblOffset val="100"/>
        <c:noMultiLvlLbl val="0"/>
      </c:catAx>
      <c:valAx>
        <c:axId val="298495071"/>
        <c:scaling>
          <c:orientation val="minMax"/>
        </c:scaling>
        <c:delete val="1"/>
        <c:axPos val="l"/>
        <c:numFmt formatCode="_-* #,##0_-;\-* #,##0_-;_-* &quot;-&quot;??_-;_-@_-" sourceLinked="1"/>
        <c:majorTickMark val="none"/>
        <c:minorTickMark val="none"/>
        <c:tickLblPos val="nextTo"/>
        <c:crossAx val="2985080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8.xml"/><Relationship Id="rId3" Type="http://schemas.openxmlformats.org/officeDocument/2006/relationships/chart" Target="../charts/chart13.xml"/><Relationship Id="rId7" Type="http://schemas.openxmlformats.org/officeDocument/2006/relationships/chart" Target="../charts/chart17.xml"/><Relationship Id="rId2" Type="http://schemas.openxmlformats.org/officeDocument/2006/relationships/chart" Target="../charts/chart12.xml"/><Relationship Id="rId1" Type="http://schemas.openxmlformats.org/officeDocument/2006/relationships/chart" Target="../charts/chart11.xml"/><Relationship Id="rId6" Type="http://schemas.openxmlformats.org/officeDocument/2006/relationships/chart" Target="../charts/chart16.xml"/><Relationship Id="rId5" Type="http://schemas.openxmlformats.org/officeDocument/2006/relationships/chart" Target="../charts/chart15.xml"/><Relationship Id="rId10" Type="http://schemas.openxmlformats.org/officeDocument/2006/relationships/chart" Target="../charts/chart20.xml"/><Relationship Id="rId4" Type="http://schemas.openxmlformats.org/officeDocument/2006/relationships/chart" Target="../charts/chart14.xml"/><Relationship Id="rId9" Type="http://schemas.openxmlformats.org/officeDocument/2006/relationships/chart" Target="../charts/chart19.xml"/></Relationships>
</file>

<file path=xl/drawings/drawing1.xml><?xml version="1.0" encoding="utf-8"?>
<xdr:wsDr xmlns:xdr="http://schemas.openxmlformats.org/drawingml/2006/spreadsheetDrawing" xmlns:a="http://schemas.openxmlformats.org/drawingml/2006/main">
  <xdr:twoCellAnchor>
    <xdr:from>
      <xdr:col>3</xdr:col>
      <xdr:colOff>0</xdr:colOff>
      <xdr:row>5</xdr:row>
      <xdr:rowOff>176462</xdr:rowOff>
    </xdr:from>
    <xdr:to>
      <xdr:col>10</xdr:col>
      <xdr:colOff>182880</xdr:colOff>
      <xdr:row>20</xdr:row>
      <xdr:rowOff>176462</xdr:rowOff>
    </xdr:to>
    <xdr:graphicFrame macro="">
      <xdr:nvGraphicFramePr>
        <xdr:cNvPr id="2" name="Chart 1">
          <a:extLst>
            <a:ext uri="{FF2B5EF4-FFF2-40B4-BE49-F238E27FC236}">
              <a16:creationId xmlns:a16="http://schemas.microsoft.com/office/drawing/2014/main" id="{60372BF6-9201-41D9-2771-DEA8317108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167640</xdr:colOff>
      <xdr:row>10</xdr:row>
      <xdr:rowOff>0</xdr:rowOff>
    </xdr:from>
    <xdr:to>
      <xdr:col>15</xdr:col>
      <xdr:colOff>441960</xdr:colOff>
      <xdr:row>25</xdr:row>
      <xdr:rowOff>0</xdr:rowOff>
    </xdr:to>
    <xdr:graphicFrame macro="">
      <xdr:nvGraphicFramePr>
        <xdr:cNvPr id="3" name="Chart 2">
          <a:extLst>
            <a:ext uri="{FF2B5EF4-FFF2-40B4-BE49-F238E27FC236}">
              <a16:creationId xmlns:a16="http://schemas.microsoft.com/office/drawing/2014/main" id="{E951B062-6CEE-C448-66BC-12B8255D37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426720</xdr:colOff>
      <xdr:row>10</xdr:row>
      <xdr:rowOff>7620</xdr:rowOff>
    </xdr:from>
    <xdr:to>
      <xdr:col>20</xdr:col>
      <xdr:colOff>510540</xdr:colOff>
      <xdr:row>25</xdr:row>
      <xdr:rowOff>7620</xdr:rowOff>
    </xdr:to>
    <xdr:graphicFrame macro="">
      <xdr:nvGraphicFramePr>
        <xdr:cNvPr id="4" name="Chart 3">
          <a:extLst>
            <a:ext uri="{FF2B5EF4-FFF2-40B4-BE49-F238E27FC236}">
              <a16:creationId xmlns:a16="http://schemas.microsoft.com/office/drawing/2014/main" id="{4BC9197D-296A-AEAE-D534-571F6AD504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21</xdr:col>
      <xdr:colOff>502920</xdr:colOff>
      <xdr:row>9</xdr:row>
      <xdr:rowOff>99060</xdr:rowOff>
    </xdr:from>
    <xdr:to>
      <xdr:col>26</xdr:col>
      <xdr:colOff>15240</xdr:colOff>
      <xdr:row>24</xdr:row>
      <xdr:rowOff>99060</xdr:rowOff>
    </xdr:to>
    <xdr:graphicFrame macro="">
      <xdr:nvGraphicFramePr>
        <xdr:cNvPr id="6" name="Chart 5">
          <a:extLst>
            <a:ext uri="{FF2B5EF4-FFF2-40B4-BE49-F238E27FC236}">
              <a16:creationId xmlns:a16="http://schemas.microsoft.com/office/drawing/2014/main" id="{D229D6FE-922C-A268-1320-6503D0DC2A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26</xdr:col>
      <xdr:colOff>228600</xdr:colOff>
      <xdr:row>9</xdr:row>
      <xdr:rowOff>106680</xdr:rowOff>
    </xdr:from>
    <xdr:to>
      <xdr:col>31</xdr:col>
      <xdr:colOff>594360</xdr:colOff>
      <xdr:row>24</xdr:row>
      <xdr:rowOff>106680</xdr:rowOff>
    </xdr:to>
    <xdr:graphicFrame macro="">
      <xdr:nvGraphicFramePr>
        <xdr:cNvPr id="7" name="Chart 6">
          <a:extLst>
            <a:ext uri="{FF2B5EF4-FFF2-40B4-BE49-F238E27FC236}">
              <a16:creationId xmlns:a16="http://schemas.microsoft.com/office/drawing/2014/main" id="{F2C76B33-A234-D9CF-3401-91C57B71E0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32</xdr:col>
      <xdr:colOff>137160</xdr:colOff>
      <xdr:row>10</xdr:row>
      <xdr:rowOff>7620</xdr:rowOff>
    </xdr:from>
    <xdr:to>
      <xdr:col>37</xdr:col>
      <xdr:colOff>30480</xdr:colOff>
      <xdr:row>25</xdr:row>
      <xdr:rowOff>7620</xdr:rowOff>
    </xdr:to>
    <xdr:graphicFrame macro="">
      <xdr:nvGraphicFramePr>
        <xdr:cNvPr id="8" name="Chart 7">
          <a:extLst>
            <a:ext uri="{FF2B5EF4-FFF2-40B4-BE49-F238E27FC236}">
              <a16:creationId xmlns:a16="http://schemas.microsoft.com/office/drawing/2014/main" id="{CD24996E-9212-CC91-E4CC-D3A6A241B1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38</xdr:col>
      <xdr:colOff>0</xdr:colOff>
      <xdr:row>12</xdr:row>
      <xdr:rowOff>0</xdr:rowOff>
    </xdr:from>
    <xdr:to>
      <xdr:col>39</xdr:col>
      <xdr:colOff>1724526</xdr:colOff>
      <xdr:row>20</xdr:row>
      <xdr:rowOff>56148</xdr:rowOff>
    </xdr:to>
    <xdr:sp macro="" textlink="$AM$11">
      <xdr:nvSpPr>
        <xdr:cNvPr id="14" name="Rectangle 13">
          <a:extLst>
            <a:ext uri="{FF2B5EF4-FFF2-40B4-BE49-F238E27FC236}">
              <a16:creationId xmlns:a16="http://schemas.microsoft.com/office/drawing/2014/main" id="{5B60FEE1-45AB-42AD-B9A8-6C86242FBAF1}"/>
            </a:ext>
          </a:extLst>
        </xdr:cNvPr>
        <xdr:cNvSpPr/>
      </xdr:nvSpPr>
      <xdr:spPr>
        <a:xfrm>
          <a:off x="33207158" y="2213811"/>
          <a:ext cx="2598821" cy="1532021"/>
        </a:xfrm>
        <a:prstGeom prst="rec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A675E78-7C32-461D-B331-0EF545BDF8A4}" type="TxLink">
            <a:rPr lang="en-US" sz="2800" b="1" i="0" u="none" strike="noStrike">
              <a:solidFill>
                <a:srgbClr val="000000"/>
              </a:solidFill>
              <a:latin typeface="Calibri"/>
              <a:cs typeface="Calibri"/>
            </a:rPr>
            <a:pPr algn="ctr"/>
            <a:t> 11,637,983 </a:t>
          </a:fld>
          <a:endParaRPr lang="en-US" sz="2800" b="1"/>
        </a:p>
      </xdr:txBody>
    </xdr:sp>
    <xdr:clientData/>
  </xdr:twoCellAnchor>
  <xdr:twoCellAnchor>
    <xdr:from>
      <xdr:col>38</xdr:col>
      <xdr:colOff>352927</xdr:colOff>
      <xdr:row>15</xdr:row>
      <xdr:rowOff>136357</xdr:rowOff>
    </xdr:from>
    <xdr:to>
      <xdr:col>39</xdr:col>
      <xdr:colOff>1419727</xdr:colOff>
      <xdr:row>20</xdr:row>
      <xdr:rowOff>116303</xdr:rowOff>
    </xdr:to>
    <xdr:graphicFrame macro="">
      <xdr:nvGraphicFramePr>
        <xdr:cNvPr id="15" name="Chart 14">
          <a:extLst>
            <a:ext uri="{FF2B5EF4-FFF2-40B4-BE49-F238E27FC236}">
              <a16:creationId xmlns:a16="http://schemas.microsoft.com/office/drawing/2014/main" id="{EF6B658A-C120-4A14-B405-D52067DA40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38</xdr:col>
      <xdr:colOff>8023</xdr:colOff>
      <xdr:row>12</xdr:row>
      <xdr:rowOff>8021</xdr:rowOff>
    </xdr:from>
    <xdr:to>
      <xdr:col>40</xdr:col>
      <xdr:colOff>8022</xdr:colOff>
      <xdr:row>14</xdr:row>
      <xdr:rowOff>32084</xdr:rowOff>
    </xdr:to>
    <xdr:sp macro="" textlink="">
      <xdr:nvSpPr>
        <xdr:cNvPr id="16" name="TextBox 15">
          <a:extLst>
            <a:ext uri="{FF2B5EF4-FFF2-40B4-BE49-F238E27FC236}">
              <a16:creationId xmlns:a16="http://schemas.microsoft.com/office/drawing/2014/main" id="{7C793BA5-4D0E-4867-B331-BE8D5CDAA973}"/>
            </a:ext>
          </a:extLst>
        </xdr:cNvPr>
        <xdr:cNvSpPr txBox="1"/>
      </xdr:nvSpPr>
      <xdr:spPr>
        <a:xfrm>
          <a:off x="33215181" y="2221832"/>
          <a:ext cx="2606841" cy="393031"/>
        </a:xfrm>
        <a:prstGeom prst="rect">
          <a:avLst/>
        </a:prstGeom>
        <a:solidFill>
          <a:schemeClr val="accent1">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bg1"/>
              </a:solidFill>
            </a:rPr>
            <a:t>Total Gas Production (MMSCF)</a:t>
          </a:r>
        </a:p>
      </xdr:txBody>
    </xdr:sp>
    <xdr:clientData/>
  </xdr:twoCellAnchor>
  <xdr:twoCellAnchor>
    <xdr:from>
      <xdr:col>41</xdr:col>
      <xdr:colOff>0</xdr:colOff>
      <xdr:row>12</xdr:row>
      <xdr:rowOff>0</xdr:rowOff>
    </xdr:from>
    <xdr:to>
      <xdr:col>43</xdr:col>
      <xdr:colOff>208926</xdr:colOff>
      <xdr:row>20</xdr:row>
      <xdr:rowOff>57727</xdr:rowOff>
    </xdr:to>
    <xdr:sp macro="" textlink="">
      <xdr:nvSpPr>
        <xdr:cNvPr id="25" name="Rectangle 24">
          <a:extLst>
            <a:ext uri="{FF2B5EF4-FFF2-40B4-BE49-F238E27FC236}">
              <a16:creationId xmlns:a16="http://schemas.microsoft.com/office/drawing/2014/main" id="{F23A7B8E-8899-473A-80AA-1BCFE4AF861D}"/>
            </a:ext>
          </a:extLst>
        </xdr:cNvPr>
        <xdr:cNvSpPr/>
      </xdr:nvSpPr>
      <xdr:spPr>
        <a:xfrm>
          <a:off x="37041221" y="2213811"/>
          <a:ext cx="2599200" cy="1533600"/>
        </a:xfrm>
        <a:prstGeom prst="rec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41</xdr:col>
      <xdr:colOff>336883</xdr:colOff>
      <xdr:row>15</xdr:row>
      <xdr:rowOff>80211</xdr:rowOff>
    </xdr:from>
    <xdr:to>
      <xdr:col>42</xdr:col>
      <xdr:colOff>1435766</xdr:colOff>
      <xdr:row>20</xdr:row>
      <xdr:rowOff>104274</xdr:rowOff>
    </xdr:to>
    <xdr:graphicFrame macro="">
      <xdr:nvGraphicFramePr>
        <xdr:cNvPr id="26" name="Chart 25">
          <a:extLst>
            <a:ext uri="{FF2B5EF4-FFF2-40B4-BE49-F238E27FC236}">
              <a16:creationId xmlns:a16="http://schemas.microsoft.com/office/drawing/2014/main" id="{5E2D3254-1F64-4764-AEBA-1BFB50571E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41</xdr:col>
      <xdr:colOff>0</xdr:colOff>
      <xdr:row>12</xdr:row>
      <xdr:rowOff>0</xdr:rowOff>
    </xdr:from>
    <xdr:to>
      <xdr:col>43</xdr:col>
      <xdr:colOff>216567</xdr:colOff>
      <xdr:row>14</xdr:row>
      <xdr:rowOff>24063</xdr:rowOff>
    </xdr:to>
    <xdr:sp macro="" textlink="">
      <xdr:nvSpPr>
        <xdr:cNvPr id="27" name="TextBox 26">
          <a:extLst>
            <a:ext uri="{FF2B5EF4-FFF2-40B4-BE49-F238E27FC236}">
              <a16:creationId xmlns:a16="http://schemas.microsoft.com/office/drawing/2014/main" id="{B67B2B73-77A8-4C39-9EDA-DEEA1AA2EB23}"/>
            </a:ext>
          </a:extLst>
        </xdr:cNvPr>
        <xdr:cNvSpPr txBox="1"/>
      </xdr:nvSpPr>
      <xdr:spPr>
        <a:xfrm>
          <a:off x="37041221" y="2213811"/>
          <a:ext cx="2606841" cy="393031"/>
        </a:xfrm>
        <a:prstGeom prst="rect">
          <a:avLst/>
        </a:prstGeom>
        <a:solidFill>
          <a:schemeClr val="accent1">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bg1"/>
              </a:solidFill>
            </a:rPr>
            <a:t>Total Gas Utilized (MMSCF)</a:t>
          </a:r>
        </a:p>
      </xdr:txBody>
    </xdr:sp>
    <xdr:clientData/>
  </xdr:twoCellAnchor>
  <xdr:twoCellAnchor>
    <xdr:from>
      <xdr:col>44</xdr:col>
      <xdr:colOff>0</xdr:colOff>
      <xdr:row>12</xdr:row>
      <xdr:rowOff>0</xdr:rowOff>
    </xdr:from>
    <xdr:to>
      <xdr:col>46</xdr:col>
      <xdr:colOff>289137</xdr:colOff>
      <xdr:row>20</xdr:row>
      <xdr:rowOff>57727</xdr:rowOff>
    </xdr:to>
    <xdr:sp macro="" textlink="">
      <xdr:nvSpPr>
        <xdr:cNvPr id="29" name="Rectangle 28">
          <a:extLst>
            <a:ext uri="{FF2B5EF4-FFF2-40B4-BE49-F238E27FC236}">
              <a16:creationId xmlns:a16="http://schemas.microsoft.com/office/drawing/2014/main" id="{8BD8B02D-0E0B-4919-AD0A-135443D007CD}"/>
            </a:ext>
          </a:extLst>
        </xdr:cNvPr>
        <xdr:cNvSpPr/>
      </xdr:nvSpPr>
      <xdr:spPr>
        <a:xfrm>
          <a:off x="40041095" y="2213811"/>
          <a:ext cx="2599200" cy="1533600"/>
        </a:xfrm>
        <a:prstGeom prst="rec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44</xdr:col>
      <xdr:colOff>385008</xdr:colOff>
      <xdr:row>15</xdr:row>
      <xdr:rowOff>128337</xdr:rowOff>
    </xdr:from>
    <xdr:to>
      <xdr:col>45</xdr:col>
      <xdr:colOff>1163051</xdr:colOff>
      <xdr:row>20</xdr:row>
      <xdr:rowOff>56147</xdr:rowOff>
    </xdr:to>
    <xdr:graphicFrame macro="">
      <xdr:nvGraphicFramePr>
        <xdr:cNvPr id="28" name="Chart 27">
          <a:extLst>
            <a:ext uri="{FF2B5EF4-FFF2-40B4-BE49-F238E27FC236}">
              <a16:creationId xmlns:a16="http://schemas.microsoft.com/office/drawing/2014/main" id="{6360ADDC-CA2B-58DA-2143-3C2EAC0CEE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44</xdr:col>
      <xdr:colOff>0</xdr:colOff>
      <xdr:row>12</xdr:row>
      <xdr:rowOff>0</xdr:rowOff>
    </xdr:from>
    <xdr:to>
      <xdr:col>46</xdr:col>
      <xdr:colOff>296778</xdr:colOff>
      <xdr:row>14</xdr:row>
      <xdr:rowOff>24063</xdr:rowOff>
    </xdr:to>
    <xdr:sp macro="" textlink="">
      <xdr:nvSpPr>
        <xdr:cNvPr id="30" name="TextBox 29">
          <a:extLst>
            <a:ext uri="{FF2B5EF4-FFF2-40B4-BE49-F238E27FC236}">
              <a16:creationId xmlns:a16="http://schemas.microsoft.com/office/drawing/2014/main" id="{0F5C6C50-19B2-49BA-BB2A-40314985F20E}"/>
            </a:ext>
          </a:extLst>
        </xdr:cNvPr>
        <xdr:cNvSpPr txBox="1"/>
      </xdr:nvSpPr>
      <xdr:spPr>
        <a:xfrm>
          <a:off x="40041095" y="2213811"/>
          <a:ext cx="2606841" cy="393031"/>
        </a:xfrm>
        <a:prstGeom prst="rect">
          <a:avLst/>
        </a:prstGeom>
        <a:solidFill>
          <a:schemeClr val="accent1">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bg1"/>
              </a:solidFill>
            </a:rPr>
            <a:t>Total Gas Flared (MMSCF)</a:t>
          </a:r>
        </a:p>
      </xdr:txBody>
    </xdr:sp>
    <xdr:clientData/>
  </xdr:twoCellAnchor>
  <xdr:twoCellAnchor>
    <xdr:from>
      <xdr:col>47</xdr:col>
      <xdr:colOff>0</xdr:colOff>
      <xdr:row>12</xdr:row>
      <xdr:rowOff>0</xdr:rowOff>
    </xdr:from>
    <xdr:to>
      <xdr:col>49</xdr:col>
      <xdr:colOff>393411</xdr:colOff>
      <xdr:row>20</xdr:row>
      <xdr:rowOff>57727</xdr:rowOff>
    </xdr:to>
    <xdr:sp macro="" textlink="">
      <xdr:nvSpPr>
        <xdr:cNvPr id="31" name="Rectangle 30">
          <a:extLst>
            <a:ext uri="{FF2B5EF4-FFF2-40B4-BE49-F238E27FC236}">
              <a16:creationId xmlns:a16="http://schemas.microsoft.com/office/drawing/2014/main" id="{A4EE6216-BBCC-493A-96C5-7D16B3787186}"/>
            </a:ext>
          </a:extLst>
        </xdr:cNvPr>
        <xdr:cNvSpPr/>
      </xdr:nvSpPr>
      <xdr:spPr>
        <a:xfrm>
          <a:off x="42960758" y="2213811"/>
          <a:ext cx="2599200" cy="1533600"/>
        </a:xfrm>
        <a:prstGeom prst="rec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47</xdr:col>
      <xdr:colOff>0</xdr:colOff>
      <xdr:row>12</xdr:row>
      <xdr:rowOff>0</xdr:rowOff>
    </xdr:from>
    <xdr:to>
      <xdr:col>49</xdr:col>
      <xdr:colOff>401052</xdr:colOff>
      <xdr:row>14</xdr:row>
      <xdr:rowOff>24063</xdr:rowOff>
    </xdr:to>
    <xdr:sp macro="" textlink="">
      <xdr:nvSpPr>
        <xdr:cNvPr id="32" name="TextBox 31">
          <a:extLst>
            <a:ext uri="{FF2B5EF4-FFF2-40B4-BE49-F238E27FC236}">
              <a16:creationId xmlns:a16="http://schemas.microsoft.com/office/drawing/2014/main" id="{64D56831-0157-4690-B4D7-D0B64E341449}"/>
            </a:ext>
          </a:extLst>
        </xdr:cNvPr>
        <xdr:cNvSpPr txBox="1"/>
      </xdr:nvSpPr>
      <xdr:spPr>
        <a:xfrm>
          <a:off x="42960758" y="2213811"/>
          <a:ext cx="2606841" cy="393031"/>
        </a:xfrm>
        <a:prstGeom prst="rect">
          <a:avLst/>
        </a:prstGeom>
        <a:solidFill>
          <a:schemeClr val="accent1">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bg1"/>
              </a:solidFill>
            </a:rPr>
            <a:t>Gas</a:t>
          </a:r>
          <a:r>
            <a:rPr lang="en-US" sz="1400" b="1" baseline="0">
              <a:solidFill>
                <a:schemeClr val="bg1"/>
              </a:solidFill>
            </a:rPr>
            <a:t> Shrinkage</a:t>
          </a:r>
          <a:r>
            <a:rPr lang="en-US" sz="1400" b="1">
              <a:solidFill>
                <a:schemeClr val="bg1"/>
              </a:solidFill>
            </a:rPr>
            <a:t> (MMSCF)</a:t>
          </a:r>
        </a:p>
      </xdr:txBody>
    </xdr:sp>
    <xdr:clientData/>
  </xdr:twoCellAnchor>
  <xdr:twoCellAnchor>
    <xdr:from>
      <xdr:col>47</xdr:col>
      <xdr:colOff>368969</xdr:colOff>
      <xdr:row>15</xdr:row>
      <xdr:rowOff>88232</xdr:rowOff>
    </xdr:from>
    <xdr:to>
      <xdr:col>48</xdr:col>
      <xdr:colOff>1163053</xdr:colOff>
      <xdr:row>20</xdr:row>
      <xdr:rowOff>32084</xdr:rowOff>
    </xdr:to>
    <xdr:graphicFrame macro="">
      <xdr:nvGraphicFramePr>
        <xdr:cNvPr id="33" name="Chart 32">
          <a:extLst>
            <a:ext uri="{FF2B5EF4-FFF2-40B4-BE49-F238E27FC236}">
              <a16:creationId xmlns:a16="http://schemas.microsoft.com/office/drawing/2014/main" id="{E4443C53-451A-6DD1-23AD-1FBE547888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1</xdr:col>
      <xdr:colOff>434339</xdr:colOff>
      <xdr:row>11</xdr:row>
      <xdr:rowOff>167240</xdr:rowOff>
    </xdr:from>
    <xdr:to>
      <xdr:col>2</xdr:col>
      <xdr:colOff>530592</xdr:colOff>
      <xdr:row>20</xdr:row>
      <xdr:rowOff>128338</xdr:rowOff>
    </xdr:to>
    <mc:AlternateContent xmlns:mc="http://schemas.openxmlformats.org/markup-compatibility/2006">
      <mc:Choice xmlns:a14="http://schemas.microsoft.com/office/drawing/2010/main" Requires="a14">
        <xdr:graphicFrame macro="">
          <xdr:nvGraphicFramePr>
            <xdr:cNvPr id="34" name="Years (Date)">
              <a:extLst>
                <a:ext uri="{FF2B5EF4-FFF2-40B4-BE49-F238E27FC236}">
                  <a16:creationId xmlns:a16="http://schemas.microsoft.com/office/drawing/2014/main" id="{F1B2E760-019D-0E30-DE38-EA3B1441D60D}"/>
                </a:ext>
              </a:extLst>
            </xdr:cNvPr>
            <xdr:cNvGraphicFramePr/>
          </xdr:nvGraphicFramePr>
          <xdr:xfrm>
            <a:off x="0" y="0"/>
            <a:ext cx="0" cy="0"/>
          </xdr:xfrm>
          <a:graphic>
            <a:graphicData uri="http://schemas.microsoft.com/office/drawing/2010/slicer">
              <sle:slicer xmlns:sle="http://schemas.microsoft.com/office/drawing/2010/slicer" name="Years (Date)"/>
            </a:graphicData>
          </a:graphic>
        </xdr:graphicFrame>
      </mc:Choice>
      <mc:Fallback>
        <xdr:sp macro="" textlink="">
          <xdr:nvSpPr>
            <xdr:cNvPr id="0" name=""/>
            <xdr:cNvSpPr>
              <a:spLocks noTextEdit="1"/>
            </xdr:cNvSpPr>
          </xdr:nvSpPr>
          <xdr:spPr>
            <a:xfrm>
              <a:off x="1308634" y="2196566"/>
              <a:ext cx="1828800" cy="162145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489888</xdr:colOff>
      <xdr:row>17</xdr:row>
      <xdr:rowOff>25192</xdr:rowOff>
    </xdr:from>
    <xdr:to>
      <xdr:col>13</xdr:col>
      <xdr:colOff>400989</xdr:colOff>
      <xdr:row>39</xdr:row>
      <xdr:rowOff>73593</xdr:rowOff>
    </xdr:to>
    <xdr:graphicFrame macro="">
      <xdr:nvGraphicFramePr>
        <xdr:cNvPr id="2" name="Chart 1">
          <a:extLst>
            <a:ext uri="{FF2B5EF4-FFF2-40B4-BE49-F238E27FC236}">
              <a16:creationId xmlns:a16="http://schemas.microsoft.com/office/drawing/2014/main" id="{86125EAC-AF32-4597-8FC6-B59A8BE664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578786</xdr:colOff>
      <xdr:row>17</xdr:row>
      <xdr:rowOff>12492</xdr:rowOff>
    </xdr:from>
    <xdr:to>
      <xdr:col>22</xdr:col>
      <xdr:colOff>489888</xdr:colOff>
      <xdr:row>39</xdr:row>
      <xdr:rowOff>60893</xdr:rowOff>
    </xdr:to>
    <xdr:graphicFrame macro="">
      <xdr:nvGraphicFramePr>
        <xdr:cNvPr id="3" name="Chart 2">
          <a:extLst>
            <a:ext uri="{FF2B5EF4-FFF2-40B4-BE49-F238E27FC236}">
              <a16:creationId xmlns:a16="http://schemas.microsoft.com/office/drawing/2014/main" id="{37080DB5-3DCC-4F31-86F1-C0E062F897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23</xdr:col>
      <xdr:colOff>102643</xdr:colOff>
      <xdr:row>17</xdr:row>
      <xdr:rowOff>24984</xdr:rowOff>
    </xdr:from>
    <xdr:to>
      <xdr:col>32</xdr:col>
      <xdr:colOff>13744</xdr:colOff>
      <xdr:row>39</xdr:row>
      <xdr:rowOff>73385</xdr:rowOff>
    </xdr:to>
    <xdr:graphicFrame macro="">
      <xdr:nvGraphicFramePr>
        <xdr:cNvPr id="4" name="Chart 3">
          <a:extLst>
            <a:ext uri="{FF2B5EF4-FFF2-40B4-BE49-F238E27FC236}">
              <a16:creationId xmlns:a16="http://schemas.microsoft.com/office/drawing/2014/main" id="{83ECCF7A-E667-4899-9831-E14F414E63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578786</xdr:colOff>
      <xdr:row>41</xdr:row>
      <xdr:rowOff>12493</xdr:rowOff>
    </xdr:from>
    <xdr:to>
      <xdr:col>22</xdr:col>
      <xdr:colOff>489888</xdr:colOff>
      <xdr:row>63</xdr:row>
      <xdr:rowOff>70470</xdr:rowOff>
    </xdr:to>
    <xdr:graphicFrame macro="">
      <xdr:nvGraphicFramePr>
        <xdr:cNvPr id="5" name="Chart 4">
          <a:extLst>
            <a:ext uri="{FF2B5EF4-FFF2-40B4-BE49-F238E27FC236}">
              <a16:creationId xmlns:a16="http://schemas.microsoft.com/office/drawing/2014/main" id="{868716E7-7CA5-4491-8E0D-EDB51BE393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474689</xdr:colOff>
      <xdr:row>41</xdr:row>
      <xdr:rowOff>37892</xdr:rowOff>
    </xdr:from>
    <xdr:to>
      <xdr:col>13</xdr:col>
      <xdr:colOff>388288</xdr:colOff>
      <xdr:row>63</xdr:row>
      <xdr:rowOff>86292</xdr:rowOff>
    </xdr:to>
    <xdr:graphicFrame macro="">
      <xdr:nvGraphicFramePr>
        <xdr:cNvPr id="6" name="Chart 5">
          <a:extLst>
            <a:ext uri="{FF2B5EF4-FFF2-40B4-BE49-F238E27FC236}">
              <a16:creationId xmlns:a16="http://schemas.microsoft.com/office/drawing/2014/main" id="{838BE97D-473F-4DCA-9385-34DC1EFAC5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23</xdr:col>
      <xdr:colOff>141574</xdr:colOff>
      <xdr:row>41</xdr:row>
      <xdr:rowOff>12493</xdr:rowOff>
    </xdr:from>
    <xdr:to>
      <xdr:col>32</xdr:col>
      <xdr:colOff>52675</xdr:colOff>
      <xdr:row>63</xdr:row>
      <xdr:rowOff>70470</xdr:rowOff>
    </xdr:to>
    <xdr:graphicFrame macro="">
      <xdr:nvGraphicFramePr>
        <xdr:cNvPr id="7" name="Chart 6">
          <a:extLst>
            <a:ext uri="{FF2B5EF4-FFF2-40B4-BE49-F238E27FC236}">
              <a16:creationId xmlns:a16="http://schemas.microsoft.com/office/drawing/2014/main" id="{09755FB5-8E71-4286-A5EB-B4E966254D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519042</xdr:colOff>
      <xdr:row>7</xdr:row>
      <xdr:rowOff>77304</xdr:rowOff>
    </xdr:from>
    <xdr:to>
      <xdr:col>10</xdr:col>
      <xdr:colOff>474694</xdr:colOff>
      <xdr:row>16</xdr:row>
      <xdr:rowOff>151652</xdr:rowOff>
    </xdr:to>
    <xdr:sp macro="" textlink="'Exploratory Data Analysis'!$AM$11">
      <xdr:nvSpPr>
        <xdr:cNvPr id="13" name="Rectangle 12">
          <a:extLst>
            <a:ext uri="{FF2B5EF4-FFF2-40B4-BE49-F238E27FC236}">
              <a16:creationId xmlns:a16="http://schemas.microsoft.com/office/drawing/2014/main" id="{B1B3B1A7-3800-46E5-8590-90725C634239}"/>
            </a:ext>
          </a:extLst>
        </xdr:cNvPr>
        <xdr:cNvSpPr/>
      </xdr:nvSpPr>
      <xdr:spPr>
        <a:xfrm>
          <a:off x="2948607" y="1391478"/>
          <a:ext cx="3600000" cy="1764000"/>
        </a:xfrm>
        <a:prstGeom prst="rect">
          <a:avLst/>
        </a:prstGeom>
        <a:solidFill>
          <a:schemeClr val="accent4">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B459E2B-260A-4DC1-8983-674E73E94DF6}" type="TxLink">
            <a:rPr lang="en-US" sz="3600" b="1" i="0" u="none" strike="noStrike">
              <a:solidFill>
                <a:srgbClr val="000000"/>
              </a:solidFill>
              <a:latin typeface="Calibri"/>
              <a:cs typeface="Calibri"/>
            </a:rPr>
            <a:t> 11,637,983 </a:t>
          </a:fld>
          <a:endParaRPr lang="en-US" sz="7200" b="1">
            <a:solidFill>
              <a:sysClr val="windowText" lastClr="000000"/>
            </a:solidFill>
          </a:endParaRPr>
        </a:p>
      </xdr:txBody>
    </xdr:sp>
    <xdr:clientData/>
  </xdr:twoCellAnchor>
  <xdr:twoCellAnchor>
    <xdr:from>
      <xdr:col>6</xdr:col>
      <xdr:colOff>132522</xdr:colOff>
      <xdr:row>12</xdr:row>
      <xdr:rowOff>0</xdr:rowOff>
    </xdr:from>
    <xdr:to>
      <xdr:col>9</xdr:col>
      <xdr:colOff>254348</xdr:colOff>
      <xdr:row>16</xdr:row>
      <xdr:rowOff>149044</xdr:rowOff>
    </xdr:to>
    <xdr:graphicFrame macro="">
      <xdr:nvGraphicFramePr>
        <xdr:cNvPr id="14" name="Chart 13">
          <a:extLst>
            <a:ext uri="{FF2B5EF4-FFF2-40B4-BE49-F238E27FC236}">
              <a16:creationId xmlns:a16="http://schemas.microsoft.com/office/drawing/2014/main" id="{9EC8F787-2ADC-47DF-AF1C-13CC5F71F3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527065</xdr:colOff>
      <xdr:row>7</xdr:row>
      <xdr:rowOff>85325</xdr:rowOff>
    </xdr:from>
    <xdr:to>
      <xdr:col>10</xdr:col>
      <xdr:colOff>482717</xdr:colOff>
      <xdr:row>10</xdr:row>
      <xdr:rowOff>132522</xdr:rowOff>
    </xdr:to>
    <xdr:sp macro="" textlink="">
      <xdr:nvSpPr>
        <xdr:cNvPr id="15" name="TextBox 14">
          <a:extLst>
            <a:ext uri="{FF2B5EF4-FFF2-40B4-BE49-F238E27FC236}">
              <a16:creationId xmlns:a16="http://schemas.microsoft.com/office/drawing/2014/main" id="{B8339BB4-3461-4E70-911A-C96581186E42}"/>
            </a:ext>
          </a:extLst>
        </xdr:cNvPr>
        <xdr:cNvSpPr txBox="1"/>
      </xdr:nvSpPr>
      <xdr:spPr>
        <a:xfrm>
          <a:off x="2956630" y="1399499"/>
          <a:ext cx="3600000" cy="610414"/>
        </a:xfrm>
        <a:prstGeom prst="rect">
          <a:avLst/>
        </a:prstGeom>
        <a:solidFill>
          <a:schemeClr val="accent1">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100" b="1">
              <a:solidFill>
                <a:schemeClr val="bg1"/>
              </a:solidFill>
            </a:rPr>
            <a:t>Total Gas Production (MMSCF)</a:t>
          </a:r>
        </a:p>
      </xdr:txBody>
    </xdr:sp>
    <xdr:clientData/>
  </xdr:twoCellAnchor>
  <xdr:twoCellAnchor>
    <xdr:from>
      <xdr:col>11</xdr:col>
      <xdr:colOff>269894</xdr:colOff>
      <xdr:row>7</xdr:row>
      <xdr:rowOff>77304</xdr:rowOff>
    </xdr:from>
    <xdr:to>
      <xdr:col>17</xdr:col>
      <xdr:colOff>225546</xdr:colOff>
      <xdr:row>16</xdr:row>
      <xdr:rowOff>159272</xdr:rowOff>
    </xdr:to>
    <xdr:sp macro="" textlink="'Exploratory Data Analysis'!$AQ$9">
      <xdr:nvSpPr>
        <xdr:cNvPr id="16" name="Rectangle 15">
          <a:extLst>
            <a:ext uri="{FF2B5EF4-FFF2-40B4-BE49-F238E27FC236}">
              <a16:creationId xmlns:a16="http://schemas.microsoft.com/office/drawing/2014/main" id="{B454EA1C-ACC3-4CD7-8C5B-9283586B880E}"/>
            </a:ext>
          </a:extLst>
        </xdr:cNvPr>
        <xdr:cNvSpPr/>
      </xdr:nvSpPr>
      <xdr:spPr>
        <a:xfrm>
          <a:off x="6951198" y="1391478"/>
          <a:ext cx="3600000" cy="1771620"/>
        </a:xfrm>
        <a:prstGeom prst="rect">
          <a:avLst/>
        </a:prstGeom>
        <a:solidFill>
          <a:schemeClr val="accent4">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CADEE15-0127-446B-AC84-E79DF3DE2770}" type="TxLink">
            <a:rPr lang="en-US" sz="3600" b="1" i="0" u="none" strike="noStrike">
              <a:solidFill>
                <a:srgbClr val="000000"/>
              </a:solidFill>
              <a:latin typeface="Calibri"/>
              <a:cs typeface="Calibri"/>
            </a:rPr>
            <a:pPr algn="ctr"/>
            <a:t> 10,677,000 </a:t>
          </a:fld>
          <a:endParaRPr lang="en-US" sz="3600" b="1"/>
        </a:p>
      </xdr:txBody>
    </xdr:sp>
    <xdr:clientData/>
  </xdr:twoCellAnchor>
  <xdr:twoCellAnchor>
    <xdr:from>
      <xdr:col>12</xdr:col>
      <xdr:colOff>552637</xdr:colOff>
      <xdr:row>11</xdr:row>
      <xdr:rowOff>164725</xdr:rowOff>
    </xdr:from>
    <xdr:to>
      <xdr:col>16</xdr:col>
      <xdr:colOff>67072</xdr:colOff>
      <xdr:row>16</xdr:row>
      <xdr:rowOff>126029</xdr:rowOff>
    </xdr:to>
    <xdr:graphicFrame macro="">
      <xdr:nvGraphicFramePr>
        <xdr:cNvPr id="17" name="Chart 16">
          <a:extLst>
            <a:ext uri="{FF2B5EF4-FFF2-40B4-BE49-F238E27FC236}">
              <a16:creationId xmlns:a16="http://schemas.microsoft.com/office/drawing/2014/main" id="{B8CDC793-7CAB-4F2D-B809-9D25ED49C1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11</xdr:col>
      <xdr:colOff>269893</xdr:colOff>
      <xdr:row>7</xdr:row>
      <xdr:rowOff>88347</xdr:rowOff>
    </xdr:from>
    <xdr:to>
      <xdr:col>17</xdr:col>
      <xdr:colOff>225545</xdr:colOff>
      <xdr:row>10</xdr:row>
      <xdr:rowOff>137130</xdr:rowOff>
    </xdr:to>
    <xdr:sp macro="" textlink="">
      <xdr:nvSpPr>
        <xdr:cNvPr id="18" name="TextBox 17">
          <a:extLst>
            <a:ext uri="{FF2B5EF4-FFF2-40B4-BE49-F238E27FC236}">
              <a16:creationId xmlns:a16="http://schemas.microsoft.com/office/drawing/2014/main" id="{15475370-5AAF-453A-8868-9B4D6C26BFB7}"/>
            </a:ext>
          </a:extLst>
        </xdr:cNvPr>
        <xdr:cNvSpPr txBox="1"/>
      </xdr:nvSpPr>
      <xdr:spPr>
        <a:xfrm>
          <a:off x="6951197" y="1402521"/>
          <a:ext cx="3600000" cy="612000"/>
        </a:xfrm>
        <a:prstGeom prst="rect">
          <a:avLst/>
        </a:prstGeom>
        <a:solidFill>
          <a:schemeClr val="accent1">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100" b="1">
              <a:solidFill>
                <a:schemeClr val="bg1"/>
              </a:solidFill>
            </a:rPr>
            <a:t>Total Gas Utilized (MMSCF)</a:t>
          </a:r>
        </a:p>
      </xdr:txBody>
    </xdr:sp>
    <xdr:clientData/>
  </xdr:twoCellAnchor>
  <xdr:twoCellAnchor>
    <xdr:from>
      <xdr:col>17</xdr:col>
      <xdr:colOff>607390</xdr:colOff>
      <xdr:row>7</xdr:row>
      <xdr:rowOff>77304</xdr:rowOff>
    </xdr:from>
    <xdr:to>
      <xdr:col>23</xdr:col>
      <xdr:colOff>563042</xdr:colOff>
      <xdr:row>16</xdr:row>
      <xdr:rowOff>159272</xdr:rowOff>
    </xdr:to>
    <xdr:sp macro="" textlink="'Exploratory Data Analysis'!AT9">
      <xdr:nvSpPr>
        <xdr:cNvPr id="19" name="Rectangle 18">
          <a:extLst>
            <a:ext uri="{FF2B5EF4-FFF2-40B4-BE49-F238E27FC236}">
              <a16:creationId xmlns:a16="http://schemas.microsoft.com/office/drawing/2014/main" id="{979ABD63-2C1F-4B7C-8207-4E53FBEA11EA}"/>
            </a:ext>
          </a:extLst>
        </xdr:cNvPr>
        <xdr:cNvSpPr/>
      </xdr:nvSpPr>
      <xdr:spPr>
        <a:xfrm>
          <a:off x="10933042" y="1391478"/>
          <a:ext cx="3600000" cy="1771620"/>
        </a:xfrm>
        <a:prstGeom prst="rect">
          <a:avLst/>
        </a:prstGeom>
        <a:solidFill>
          <a:schemeClr val="accent4">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37E11C3-E660-4DFD-8231-29A15B9FCA70}" type="TxLink">
            <a:rPr lang="en-US" sz="3600" b="1" i="0" u="none" strike="noStrike">
              <a:solidFill>
                <a:srgbClr val="000000"/>
              </a:solidFill>
              <a:latin typeface="Calibri"/>
              <a:cs typeface="Calibri"/>
            </a:rPr>
            <a:pPr algn="ctr"/>
            <a:t> 918,852 </a:t>
          </a:fld>
          <a:endParaRPr lang="en-US" sz="3600" b="1"/>
        </a:p>
      </xdr:txBody>
    </xdr:sp>
    <xdr:clientData/>
  </xdr:twoCellAnchor>
  <xdr:twoCellAnchor>
    <xdr:from>
      <xdr:col>19</xdr:col>
      <xdr:colOff>341965</xdr:colOff>
      <xdr:row>12</xdr:row>
      <xdr:rowOff>22051</xdr:rowOff>
    </xdr:from>
    <xdr:to>
      <xdr:col>22</xdr:col>
      <xdr:colOff>463791</xdr:colOff>
      <xdr:row>16</xdr:row>
      <xdr:rowOff>171095</xdr:rowOff>
    </xdr:to>
    <xdr:graphicFrame macro="">
      <xdr:nvGraphicFramePr>
        <xdr:cNvPr id="20" name="Chart 19">
          <a:extLst>
            <a:ext uri="{FF2B5EF4-FFF2-40B4-BE49-F238E27FC236}">
              <a16:creationId xmlns:a16="http://schemas.microsoft.com/office/drawing/2014/main" id="{B5F6AD36-AD9F-4581-A760-DE4F7F8860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18</xdr:col>
      <xdr:colOff>0</xdr:colOff>
      <xdr:row>7</xdr:row>
      <xdr:rowOff>88352</xdr:rowOff>
    </xdr:from>
    <xdr:to>
      <xdr:col>23</xdr:col>
      <xdr:colOff>563043</xdr:colOff>
      <xdr:row>10</xdr:row>
      <xdr:rowOff>137135</xdr:rowOff>
    </xdr:to>
    <xdr:sp macro="" textlink="">
      <xdr:nvSpPr>
        <xdr:cNvPr id="21" name="TextBox 20">
          <a:extLst>
            <a:ext uri="{FF2B5EF4-FFF2-40B4-BE49-F238E27FC236}">
              <a16:creationId xmlns:a16="http://schemas.microsoft.com/office/drawing/2014/main" id="{E85C74B8-8FF5-46F5-B698-B8241599BFE7}"/>
            </a:ext>
          </a:extLst>
        </xdr:cNvPr>
        <xdr:cNvSpPr txBox="1"/>
      </xdr:nvSpPr>
      <xdr:spPr>
        <a:xfrm>
          <a:off x="10933043" y="1402526"/>
          <a:ext cx="3600000" cy="612000"/>
        </a:xfrm>
        <a:prstGeom prst="rect">
          <a:avLst/>
        </a:prstGeom>
        <a:solidFill>
          <a:schemeClr val="accent1">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100" b="1">
              <a:solidFill>
                <a:schemeClr val="bg1"/>
              </a:solidFill>
            </a:rPr>
            <a:t>Total Gas Flared (MMSCF)</a:t>
          </a:r>
        </a:p>
      </xdr:txBody>
    </xdr:sp>
    <xdr:clientData/>
  </xdr:twoCellAnchor>
  <xdr:twoCellAnchor>
    <xdr:from>
      <xdr:col>24</xdr:col>
      <xdr:colOff>432179</xdr:colOff>
      <xdr:row>7</xdr:row>
      <xdr:rowOff>77304</xdr:rowOff>
    </xdr:from>
    <xdr:to>
      <xdr:col>30</xdr:col>
      <xdr:colOff>387831</xdr:colOff>
      <xdr:row>16</xdr:row>
      <xdr:rowOff>151652</xdr:rowOff>
    </xdr:to>
    <xdr:sp macro="" textlink="'Exploratory Data Analysis'!AW9">
      <xdr:nvSpPr>
        <xdr:cNvPr id="22" name="Rectangle 21">
          <a:extLst>
            <a:ext uri="{FF2B5EF4-FFF2-40B4-BE49-F238E27FC236}">
              <a16:creationId xmlns:a16="http://schemas.microsoft.com/office/drawing/2014/main" id="{B9D482C1-F82F-4B05-864D-74FEFDE0159E}"/>
            </a:ext>
          </a:extLst>
        </xdr:cNvPr>
        <xdr:cNvSpPr/>
      </xdr:nvSpPr>
      <xdr:spPr>
        <a:xfrm>
          <a:off x="15009570" y="1391478"/>
          <a:ext cx="3600000" cy="1764000"/>
        </a:xfrm>
        <a:prstGeom prst="rect">
          <a:avLst/>
        </a:prstGeom>
        <a:solidFill>
          <a:schemeClr val="accent4">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8043102-EA71-41F5-B4B5-C2BBC8892342}" type="TxLink">
            <a:rPr lang="en-US" sz="3600" b="1" i="0" u="none" strike="noStrike">
              <a:solidFill>
                <a:srgbClr val="000000"/>
              </a:solidFill>
              <a:latin typeface="Calibri"/>
              <a:cs typeface="Calibri"/>
            </a:rPr>
            <a:pPr algn="ctr"/>
            <a:t> 42,249 </a:t>
          </a:fld>
          <a:endParaRPr lang="en-US" sz="3600" b="1"/>
        </a:p>
      </xdr:txBody>
    </xdr:sp>
    <xdr:clientData/>
  </xdr:twoCellAnchor>
  <xdr:twoCellAnchor>
    <xdr:from>
      <xdr:col>24</xdr:col>
      <xdr:colOff>432179</xdr:colOff>
      <xdr:row>7</xdr:row>
      <xdr:rowOff>104654</xdr:rowOff>
    </xdr:from>
    <xdr:to>
      <xdr:col>30</xdr:col>
      <xdr:colOff>387831</xdr:colOff>
      <xdr:row>10</xdr:row>
      <xdr:rowOff>153437</xdr:rowOff>
    </xdr:to>
    <xdr:sp macro="" textlink="">
      <xdr:nvSpPr>
        <xdr:cNvPr id="23" name="TextBox 22">
          <a:extLst>
            <a:ext uri="{FF2B5EF4-FFF2-40B4-BE49-F238E27FC236}">
              <a16:creationId xmlns:a16="http://schemas.microsoft.com/office/drawing/2014/main" id="{42F97428-9616-4820-ACD7-44C4558E3F75}"/>
            </a:ext>
          </a:extLst>
        </xdr:cNvPr>
        <xdr:cNvSpPr txBox="1"/>
      </xdr:nvSpPr>
      <xdr:spPr>
        <a:xfrm>
          <a:off x="15009570" y="1418828"/>
          <a:ext cx="3600000" cy="612000"/>
        </a:xfrm>
        <a:prstGeom prst="rect">
          <a:avLst/>
        </a:prstGeom>
        <a:solidFill>
          <a:schemeClr val="accent1">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100" b="1">
              <a:solidFill>
                <a:schemeClr val="bg1"/>
              </a:solidFill>
            </a:rPr>
            <a:t>Total Gas</a:t>
          </a:r>
          <a:r>
            <a:rPr lang="en-US" sz="2100" b="1" baseline="0">
              <a:solidFill>
                <a:schemeClr val="bg1"/>
              </a:solidFill>
            </a:rPr>
            <a:t> Shrinkage</a:t>
          </a:r>
          <a:r>
            <a:rPr lang="en-US" sz="2100" b="1">
              <a:solidFill>
                <a:schemeClr val="bg1"/>
              </a:solidFill>
            </a:rPr>
            <a:t> (MMSCF)</a:t>
          </a:r>
        </a:p>
      </xdr:txBody>
    </xdr:sp>
    <xdr:clientData/>
  </xdr:twoCellAnchor>
  <xdr:twoCellAnchor>
    <xdr:from>
      <xdr:col>26</xdr:col>
      <xdr:colOff>153823</xdr:colOff>
      <xdr:row>11</xdr:row>
      <xdr:rowOff>183639</xdr:rowOff>
    </xdr:from>
    <xdr:to>
      <xdr:col>29</xdr:col>
      <xdr:colOff>275649</xdr:colOff>
      <xdr:row>16</xdr:row>
      <xdr:rowOff>144943</xdr:rowOff>
    </xdr:to>
    <xdr:graphicFrame macro="">
      <xdr:nvGraphicFramePr>
        <xdr:cNvPr id="24" name="Chart 23">
          <a:extLst>
            <a:ext uri="{FF2B5EF4-FFF2-40B4-BE49-F238E27FC236}">
              <a16:creationId xmlns:a16="http://schemas.microsoft.com/office/drawing/2014/main" id="{F573EC36-5E3F-483B-B090-0978997AC6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0</xdr:col>
      <xdr:colOff>0</xdr:colOff>
      <xdr:row>8</xdr:row>
      <xdr:rowOff>14110</xdr:rowOff>
    </xdr:from>
    <xdr:to>
      <xdr:col>4</xdr:col>
      <xdr:colOff>381000</xdr:colOff>
      <xdr:row>21</xdr:row>
      <xdr:rowOff>43962</xdr:rowOff>
    </xdr:to>
    <mc:AlternateContent xmlns:mc="http://schemas.openxmlformats.org/markup-compatibility/2006">
      <mc:Choice xmlns:a14="http://schemas.microsoft.com/office/drawing/2010/main" Requires="a14">
        <xdr:graphicFrame macro="">
          <xdr:nvGraphicFramePr>
            <xdr:cNvPr id="27" name="Years (Date) 1">
              <a:extLst>
                <a:ext uri="{FF2B5EF4-FFF2-40B4-BE49-F238E27FC236}">
                  <a16:creationId xmlns:a16="http://schemas.microsoft.com/office/drawing/2014/main" id="{172CD831-D2DD-4235-A523-6A44AC8158B0}"/>
                </a:ext>
              </a:extLst>
            </xdr:cNvPr>
            <xdr:cNvGraphicFramePr/>
          </xdr:nvGraphicFramePr>
          <xdr:xfrm>
            <a:off x="0" y="0"/>
            <a:ext cx="0" cy="0"/>
          </xdr:xfrm>
          <a:graphic>
            <a:graphicData uri="http://schemas.microsoft.com/office/drawing/2010/slicer">
              <sle:slicer xmlns:sle="http://schemas.microsoft.com/office/drawing/2010/slicer" name="Years (Date) 1"/>
            </a:graphicData>
          </a:graphic>
        </xdr:graphicFrame>
      </mc:Choice>
      <mc:Fallback>
        <xdr:sp macro="" textlink="">
          <xdr:nvSpPr>
            <xdr:cNvPr id="0" name=""/>
            <xdr:cNvSpPr>
              <a:spLocks noTextEdit="1"/>
            </xdr:cNvSpPr>
          </xdr:nvSpPr>
          <xdr:spPr>
            <a:xfrm>
              <a:off x="0" y="1420879"/>
              <a:ext cx="2842846" cy="23158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CC" refreshedDate="45905.819441203705" createdVersion="8" refreshedVersion="8" minRefreshableVersion="3" recordCount="54" xr:uid="{D230172F-7619-4BC0-8959-E50EFF1D14EE}">
  <cacheSource type="worksheet">
    <worksheetSource ref="A1:L55" sheet="Gas Data"/>
  </cacheSource>
  <cacheFields count="15">
    <cacheField name="Date" numFmtId="14">
      <sharedItems containsSemiMixedTypes="0" containsNonDate="0" containsDate="1" containsString="0" minDate="2021-01-31T00:00:00" maxDate="2025-07-01T00:00:00" count="54">
        <d v="2021-01-31T00:00:00"/>
        <d v="2021-02-28T00:00:00"/>
        <d v="2021-03-31T00:00:00"/>
        <d v="2021-04-30T00:00:00"/>
        <d v="2021-05-31T00:00:00"/>
        <d v="2021-06-30T00:00:00"/>
        <d v="2021-07-31T00:00:00"/>
        <d v="2021-08-31T00:00:00"/>
        <d v="2021-09-30T00:00:00"/>
        <d v="2021-10-31T00:00:00"/>
        <d v="2021-11-30T00:00:00"/>
        <d v="2021-12-31T00:00:00"/>
        <d v="2022-01-31T00:00:00"/>
        <d v="2022-02-28T00:00:00"/>
        <d v="2022-03-31T00:00:00"/>
        <d v="2022-04-30T00:00:00"/>
        <d v="2022-05-31T00:00:00"/>
        <d v="2022-06-30T00:00:00"/>
        <d v="2022-07-31T00:00:00"/>
        <d v="2022-08-31T00:00:00"/>
        <d v="2022-09-30T00:00:00"/>
        <d v="2022-10-31T00:00:00"/>
        <d v="2022-11-30T00:00:00"/>
        <d v="2022-12-31T00:00:00"/>
        <d v="2023-01-31T00:00:00"/>
        <d v="2023-02-28T00:00:00"/>
        <d v="2023-03-31T00:00:00"/>
        <d v="2023-04-30T00:00:00"/>
        <d v="2023-05-31T00:00:00"/>
        <d v="2023-06-30T00:00:00"/>
        <d v="2023-07-31T00:00:00"/>
        <d v="2023-08-31T00:00:00"/>
        <d v="2023-09-30T00:00:00"/>
        <d v="2023-10-31T00:00:00"/>
        <d v="2023-11-30T00:00:00"/>
        <d v="2023-12-31T00:00:00"/>
        <d v="2024-01-31T00:00:00"/>
        <d v="2024-02-28T00:00:00"/>
        <d v="2024-03-31T00:00:00"/>
        <d v="2024-04-30T00:00:00"/>
        <d v="2024-05-31T00:00:00"/>
        <d v="2024-06-30T00:00:00"/>
        <d v="2024-07-31T00:00:00"/>
        <d v="2024-08-31T00:00:00"/>
        <d v="2024-09-30T00:00:00"/>
        <d v="2024-10-31T00:00:00"/>
        <d v="2024-11-30T00:00:00"/>
        <d v="2024-12-31T00:00:00"/>
        <d v="2025-01-31T00:00:00"/>
        <d v="2025-02-28T00:00:00"/>
        <d v="2025-03-31T00:00:00"/>
        <d v="2025-04-30T00:00:00"/>
        <d v="2025-05-31T00:00:00"/>
        <d v="2025-06-30T00:00:00"/>
      </sharedItems>
      <fieldGroup par="14"/>
    </cacheField>
    <cacheField name="AG Production" numFmtId="2">
      <sharedItems containsSemiMixedTypes="0" containsString="0" containsNumber="1" minValue="107265.7462366804" maxValue="137068.7667025002"/>
    </cacheField>
    <cacheField name="NAG Production" numFmtId="2">
      <sharedItems containsSemiMixedTypes="0" containsString="0" containsNumber="1" minValue="72728.890670278357" maxValue="119293.7722519096"/>
    </cacheField>
    <cacheField name="Total Gas Production" numFmtId="2">
      <sharedItems containsSemiMixedTypes="0" containsString="0" containsNumber="1" minValue="189794.2555468764" maxValue="242563.7387262476"/>
    </cacheField>
    <cacheField name="Field Use" numFmtId="2">
      <sharedItems containsSemiMixedTypes="0" containsString="0" containsNumber="1" minValue="53084.968018496402" maxValue="76482.520482894033"/>
    </cacheField>
    <cacheField name="Domestic Sales" numFmtId="2">
      <sharedItems containsSemiMixedTypes="0" containsString="0" containsNumber="1" minValue="43413.537409898912" maxValue="66986.504657435697"/>
    </cacheField>
    <cacheField name="Export Sales" numFmtId="2">
      <sharedItems containsSemiMixedTypes="0" containsString="0" containsNumber="1" minValue="58985.155241889232" maxValue="107380.7449389102"/>
    </cacheField>
    <cacheField name="Total Gas Utilized" numFmtId="2">
      <sharedItems containsSemiMixedTypes="0" containsString="0" containsNumber="1" minValue="175151.69171047621" maxValue="222662.09523367771"/>
    </cacheField>
    <cacheField name="% Utilized" numFmtId="10">
      <sharedItems containsSemiMixedTypes="0" containsString="0" containsNumber="1" minValue="0.88572809555175847" maxValue="0.93663898964167103"/>
    </cacheField>
    <cacheField name="Total Gas Flared" numFmtId="2">
      <sharedItems containsSemiMixedTypes="0" containsString="0" containsNumber="1" minValue="11902.481613431801" maxValue="25645.668657193659"/>
    </cacheField>
    <cacheField name="% Flared" numFmtId="10">
      <sharedItems containsSemiMixedTypes="0" containsString="0" containsNumber="1" minValue="6.094563488662473E-2" maxValue="0.1089364394916129"/>
    </cacheField>
    <cacheField name="Gas Shrinkage" numFmtId="2">
      <sharedItems containsSemiMixedTypes="0" containsString="0" containsNumber="1" minValue="6.5483618527650833E-11" maxValue="10620.432868980461"/>
    </cacheField>
    <cacheField name="Months (Date)" numFmtId="0" databaseField="0">
      <fieldGroup base="0">
        <rangePr groupBy="months" startDate="2021-01-31T00:00:00" endDate="2025-07-01T00:00:00"/>
        <groupItems count="14">
          <s v="&lt;31/01/2021"/>
          <s v="Jan"/>
          <s v="Feb"/>
          <s v="Mar"/>
          <s v="Apr"/>
          <s v="May"/>
          <s v="Jun"/>
          <s v="Jul"/>
          <s v="Aug"/>
          <s v="Sep"/>
          <s v="Oct"/>
          <s v="Nov"/>
          <s v="Dec"/>
          <s v="&gt;01/07/2025"/>
        </groupItems>
      </fieldGroup>
    </cacheField>
    <cacheField name="Quarters (Date)" numFmtId="0" databaseField="0">
      <fieldGroup base="0">
        <rangePr groupBy="quarters" startDate="2021-01-31T00:00:00" endDate="2025-07-01T00:00:00"/>
        <groupItems count="6">
          <s v="&lt;31/01/2021"/>
          <s v="Qtr1"/>
          <s v="Qtr2"/>
          <s v="Qtr3"/>
          <s v="Qtr4"/>
          <s v="&gt;01/07/2025"/>
        </groupItems>
      </fieldGroup>
    </cacheField>
    <cacheField name="Years (Date)" numFmtId="0" databaseField="0">
      <fieldGroup base="0">
        <rangePr groupBy="years" startDate="2021-01-31T00:00:00" endDate="2025-07-01T00:00:00"/>
        <groupItems count="7">
          <s v="&lt;31/01/2021"/>
          <s v="2021"/>
          <s v="2022"/>
          <s v="2023"/>
          <s v="2024"/>
          <s v="2025"/>
          <s v="&gt;01/07/2025"/>
        </groupItems>
      </fieldGroup>
    </cacheField>
  </cacheFields>
  <extLst>
    <ext xmlns:x14="http://schemas.microsoft.com/office/spreadsheetml/2009/9/main" uri="{725AE2AE-9491-48be-B2B4-4EB974FC3084}">
      <x14:pivotCacheDefinition pivotCacheId="208744929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4">
  <r>
    <x v="0"/>
    <n v="117415.3514827326"/>
    <n v="119293.7722519096"/>
    <n v="236709.12373464211"/>
    <n v="57491.301073187467"/>
    <n v="49124.812422269002"/>
    <n v="107380.7449389102"/>
    <n v="213996.8584343667"/>
    <n v="0.904049894900813"/>
    <n v="21342.160590024188"/>
    <n v="9.0161968636026824E-2"/>
    <n v="1370.1047102512259"/>
  </r>
  <r>
    <x v="1"/>
    <n v="118786.2749996137"/>
    <n v="105401.81175784059"/>
    <n v="224188.08675745429"/>
    <n v="60885.101038420711"/>
    <n v="44977.983572894329"/>
    <n v="96108.681502706109"/>
    <n v="201971.76611402119"/>
    <n v="0.90090320603222507"/>
    <n v="20685.970733066399"/>
    <n v="9.2270606490550217E-2"/>
    <n v="1530.3499103667441"/>
  </r>
  <r>
    <x v="2"/>
    <n v="128451.2496024787"/>
    <n v="106967.3924687829"/>
    <n v="235418.64207126171"/>
    <n v="64670.271853398022"/>
    <n v="45245.659311165648"/>
    <n v="98775.574833621853"/>
    <n v="208691.50599818549"/>
    <n v="0.88646975516498894"/>
    <n v="25645.668657193659"/>
    <n v="0.1089364394916129"/>
    <n v="1081.4674158825101"/>
  </r>
  <r>
    <x v="3"/>
    <n v="123967.5796481315"/>
    <n v="99424.77704039347"/>
    <n v="223392.356688525"/>
    <n v="64254.20217743839"/>
    <n v="45506.069849395397"/>
    <n v="90182.458587109708"/>
    <n v="199942.73061394351"/>
    <n v="0.89502941630506538"/>
    <n v="22583.51362465863"/>
    <n v="0.1010934928993418"/>
    <n v="866.11244992283252"/>
  </r>
  <r>
    <x v="4"/>
    <n v="124032.3877202742"/>
    <n v="109774.5749285101"/>
    <n v="233806.96264878431"/>
    <n v="65681.385887291079"/>
    <n v="54797.287690478799"/>
    <n v="90131.330393441545"/>
    <n v="210610.00397121141"/>
    <n v="0.90078585164968561"/>
    <n v="22256.45275169759"/>
    <n v="9.5191573850306424E-2"/>
    <n v="940.5059258753098"/>
  </r>
  <r>
    <x v="5"/>
    <n v="124301.58320154239"/>
    <n v="110187.8290710763"/>
    <n v="234489.41227261859"/>
    <n v="64279.521615736412"/>
    <n v="51279.009713169318"/>
    <n v="97801.627200395757"/>
    <n v="213360.15852930149"/>
    <n v="0.90989250414960265"/>
    <n v="20232.84350292445"/>
    <n v="8.6284678300961606E-2"/>
    <n v="896.41024039266324"/>
  </r>
  <r>
    <x v="6"/>
    <n v="129407.6551559042"/>
    <n v="112318.9585603903"/>
    <n v="241726.61371629461"/>
    <n v="66748.510312535378"/>
    <n v="51867.882966949357"/>
    <n v="99020.841030131065"/>
    <n v="217637.2343096158"/>
    <n v="0.90034452956449573"/>
    <n v="23026.959314142721"/>
    <n v="9.5260339604842162E-2"/>
    <n v="1062.4200925360401"/>
  </r>
  <r>
    <x v="7"/>
    <n v="126591.96202379531"/>
    <n v="113378.26791521411"/>
    <n v="239970.2299390093"/>
    <n v="66784.04977928994"/>
    <n v="51046.852570552343"/>
    <n v="102298.731396353"/>
    <n v="220129.63374619529"/>
    <n v="0.91732059348421391"/>
    <n v="18704.007504855839"/>
    <n v="7.7943032807067922E-2"/>
    <n v="1136.5886879582131"/>
  </r>
  <r>
    <x v="8"/>
    <n v="120265.65088229861"/>
    <n v="101535.9805228105"/>
    <n v="221801.63140510899"/>
    <n v="65618.649171443612"/>
    <n v="45204.540275017163"/>
    <n v="92006.164550461166"/>
    <n v="202829.353996922"/>
    <n v="0.91446285905113489"/>
    <n v="17924.585087340649"/>
    <n v="8.0813585426711021E-2"/>
    <n v="1047.692320846453"/>
  </r>
  <r>
    <x v="9"/>
    <n v="118540.77819568801"/>
    <n v="90571.513254725534"/>
    <n v="209112.29145041361"/>
    <n v="61598.510975495366"/>
    <n v="47496.759852924079"/>
    <n v="80040.40275366079"/>
    <n v="189135.67358208029"/>
    <n v="0.90446942296038901"/>
    <n v="18995.50623135189"/>
    <n v="9.083878379218209E-2"/>
    <n v="981.11163698147618"/>
  </r>
  <r>
    <x v="10"/>
    <n v="112387.5004628946"/>
    <n v="103011.5981484737"/>
    <n v="215399.0986113683"/>
    <n v="60475.72530650616"/>
    <n v="46740.597702001323"/>
    <n v="86540.526357903538"/>
    <n v="193756.84936641101"/>
    <n v="0.89952488480926718"/>
    <n v="20837.969289061431"/>
    <n v="9.6741209333740683E-2"/>
    <n v="804.27995589581758"/>
  </r>
  <r>
    <x v="11"/>
    <n v="115441.1561139901"/>
    <n v="112857.1887542574"/>
    <n v="228298.34486824751"/>
    <n v="60996.020602690558"/>
    <n v="47605.051403875463"/>
    <n v="98357.931061898038"/>
    <n v="206959.00306846411"/>
    <n v="0.90652870561940124"/>
    <n v="20343.72636176147"/>
    <n v="8.9110266539610586E-2"/>
    <n v="995.61543802195035"/>
  </r>
  <r>
    <x v="12"/>
    <n v="126884.0722897626"/>
    <n v="115679.6664364849"/>
    <n v="242563.7387262476"/>
    <n v="68388.855191945564"/>
    <n v="50397.52358494392"/>
    <n v="103875.7164567882"/>
    <n v="222662.09523367771"/>
    <n v="0.91795293230110375"/>
    <n v="18454.99723635213"/>
    <n v="7.6083083701064078E-2"/>
    <n v="1446.646256217628"/>
  </r>
  <r>
    <x v="13"/>
    <n v="109298.0432809926"/>
    <n v="107661.262817885"/>
    <n v="216959.30609887771"/>
    <n v="58075.825396642671"/>
    <n v="47517.92843384463"/>
    <n v="91092.668505223366"/>
    <n v="196686.4223357107"/>
    <n v="0.90655904958541966"/>
    <n v="19078.905597388621"/>
    <n v="8.7937714866646671E-2"/>
    <n v="1193.978165778376"/>
  </r>
  <r>
    <x v="14"/>
    <n v="117141.0389317256"/>
    <n v="103908.0580795495"/>
    <n v="221049.09701127521"/>
    <n v="65161.537479551283"/>
    <n v="48856.447529232537"/>
    <n v="89639.255646192833"/>
    <n v="203657.24065497669"/>
    <n v="0.92132129652892736"/>
    <n v="16717.016692914491"/>
    <n v="7.5625808559904667E-2"/>
    <n v="674.83966338395544"/>
  </r>
  <r>
    <x v="15"/>
    <n v="116577.0869520542"/>
    <n v="99544.536526410564"/>
    <n v="216121.62347846481"/>
    <n v="64612.427792188617"/>
    <n v="47060.234085604832"/>
    <n v="87374.481273459925"/>
    <n v="199047.1431512534"/>
    <n v="0.92099596489976965"/>
    <n v="16473.51604123387"/>
    <n v="7.6223358755563644E-2"/>
    <n v="600.96428597752799"/>
  </r>
  <r>
    <x v="16"/>
    <n v="107265.7462366804"/>
    <n v="98215.264063028662"/>
    <n v="205481.01029970901"/>
    <n v="57086.625414672839"/>
    <n v="48025.314860089267"/>
    <n v="84014.031018852955"/>
    <n v="189125.971293615"/>
    <n v="0.9204060804342018"/>
    <n v="15432.62184254501"/>
    <n v="7.5104856745815129E-2"/>
    <n v="922.41716354895789"/>
  </r>
  <r>
    <x v="17"/>
    <n v="118380.6687393591"/>
    <n v="95979.104739741495"/>
    <n v="214359.77347910061"/>
    <n v="61697.998835020488"/>
    <n v="47421.60814268938"/>
    <n v="87927.079807188551"/>
    <n v="197046.6867848984"/>
    <n v="0.91923350909917734"/>
    <n v="16056.030083574309"/>
    <n v="7.4902253454469742E-2"/>
    <n v="1257.0566106278591"/>
  </r>
  <r>
    <x v="18"/>
    <n v="126357.9096134312"/>
    <n v="94371.959538249168"/>
    <n v="220729.86915168041"/>
    <n v="60142.403108664541"/>
    <n v="47014.93203085594"/>
    <n v="97211.683804616652"/>
    <n v="204369.01894413709"/>
    <n v="0.92587840390418374"/>
    <n v="15376.479166943731"/>
    <n v="6.9661977447997223E-2"/>
    <n v="984.37104059947956"/>
  </r>
  <r>
    <x v="19"/>
    <n v="116550.4254864721"/>
    <n v="76016.847661879699"/>
    <n v="192567.27314835179"/>
    <n v="62948.995961087479"/>
    <n v="46756.992769784352"/>
    <n v="67927.729605946472"/>
    <n v="177633.7183368183"/>
    <n v="0.92245019328892475"/>
    <n v="14353.887908619379"/>
    <n v="7.4539602051493431E-2"/>
    <n v="579.66690291412999"/>
  </r>
  <r>
    <x v="20"/>
    <n v="120359.2193561601"/>
    <n v="74937.484592754641"/>
    <n v="195296.70394891471"/>
    <n v="64021.805476736074"/>
    <n v="45661.629336322119"/>
    <n v="73239.072654001837"/>
    <n v="182922.50746706"/>
    <n v="0.93663898964167103"/>
    <n v="11902.481613431801"/>
    <n v="6.094563488662473E-2"/>
    <n v="471.71486842287618"/>
  </r>
  <r>
    <x v="21"/>
    <n v="126517.0495438299"/>
    <n v="74255.816538447965"/>
    <n v="200772.86608227791"/>
    <n v="70285.585745147138"/>
    <n v="43413.537409898912"/>
    <n v="73782.189756991967"/>
    <n v="187481.312912038"/>
    <n v="0.93379806031760837"/>
    <n v="12815.86266194006"/>
    <n v="6.3832642886554436E-2"/>
    <n v="475.69050829976811"/>
  </r>
  <r>
    <x v="22"/>
    <n v="123752.4189439317"/>
    <n v="76782.952624600308"/>
    <n v="200535.37156853199"/>
    <n v="64085.786389486093"/>
    <n v="47480.555763912118"/>
    <n v="72277.848682940195"/>
    <n v="183844.19083633841"/>
    <n v="0.91676689951682955"/>
    <n v="16316.373656807091"/>
    <n v="8.1364068239856882E-2"/>
    <n v="374.80707538647982"/>
  </r>
  <r>
    <x v="23"/>
    <n v="120542.4440334117"/>
    <n v="74262.843283167502"/>
    <n v="194805.28731657931"/>
    <n v="58283.595711564762"/>
    <n v="49721.873103575192"/>
    <n v="70889.624571530905"/>
    <n v="178895.09338667089"/>
    <n v="0.918327709945302"/>
    <n v="15464.27124107137"/>
    <n v="7.9383221339060908E-2"/>
    <n v="445.92268883699802"/>
  </r>
  <r>
    <x v="24"/>
    <n v="136783.68578840391"/>
    <n v="77222.559600640307"/>
    <n v="214006.2453890442"/>
    <n v="76482.520482894033"/>
    <n v="55497.118672543264"/>
    <n v="66494.183746213879"/>
    <n v="198473.82290165109"/>
    <n v="0.92742070466608817"/>
    <n v="15005.84114316768"/>
    <n v="7.0118706656847329E-2"/>
    <n v="526.58134422536011"/>
  </r>
  <r>
    <x v="25"/>
    <n v="124217.6575003826"/>
    <n v="78131.513503565497"/>
    <n v="202349.17100394811"/>
    <n v="67144.83342837161"/>
    <n v="53019.656327589641"/>
    <n v="65825.203529021834"/>
    <n v="185989.69328498311"/>
    <n v="0.91915223750214547"/>
    <n v="15717.32791534938"/>
    <n v="7.7674288643577963E-2"/>
    <n v="656.34350692565795"/>
  </r>
  <r>
    <x v="26"/>
    <n v="137068.7667025002"/>
    <n v="90513.74203260272"/>
    <n v="227582.50873510301"/>
    <n v="75813.9785858666"/>
    <n v="53378.9423930497"/>
    <n v="81376.164996809181"/>
    <n v="210569.08597572549"/>
    <n v="0.92524283674550556"/>
    <n v="16306.168350006639"/>
    <n v="7.1649479745327774E-2"/>
    <n v="710.9934889768341"/>
  </r>
  <r>
    <x v="27"/>
    <n v="110258.0951242561"/>
    <n v="81741.209075070219"/>
    <n v="191999.30419932641"/>
    <n v="54157.293341013581"/>
    <n v="54708.222548190621"/>
    <n v="68919.851671470446"/>
    <n v="177785.36756067461"/>
    <n v="0.92596881172082068"/>
    <n v="13563.17190095045"/>
    <n v="7.0641776320552074E-2"/>
    <n v="657.46015255223381"/>
  </r>
  <r>
    <x v="28"/>
    <n v="128173.2210344484"/>
    <n v="85154.867532283693"/>
    <n v="213328.08856673201"/>
    <n v="70114.493199211618"/>
    <n v="53168.076420477541"/>
    <n v="75124.844614551432"/>
    <n v="198407.4142342406"/>
    <n v="0.93005761954397259"/>
    <n v="14266.177643668039"/>
    <n v="6.6874351800163337E-2"/>
    <n v="668.09668882347535"/>
  </r>
  <r>
    <x v="29"/>
    <n v="128086.00201436591"/>
    <n v="72728.890670278357"/>
    <n v="200814.89268464429"/>
    <n v="68483.803784593605"/>
    <n v="45959.632094955741"/>
    <n v="71158.696437809762"/>
    <n v="185602.13231735921"/>
    <n v="0.92424485971179982"/>
    <n v="14595.973149738769"/>
    <n v="7.2683718595811478E-2"/>
    <n v="636.58721754635405"/>
  </r>
  <r>
    <x v="30"/>
    <n v="128708.0383013859"/>
    <n v="78855.672015603122"/>
    <n v="207563.71031698899"/>
    <n v="68257.680410582616"/>
    <n v="53735.604753733198"/>
    <n v="71167.659026360896"/>
    <n v="193160.9441906767"/>
    <n v="0.93061038413547048"/>
    <n v="13826.85646547991"/>
    <n v="6.6614999531294197E-2"/>
    <n v="575.90966083238015"/>
  </r>
  <r>
    <x v="31"/>
    <n v="125969.26032648759"/>
    <n v="75225.037935013941"/>
    <n v="201194.29826150171"/>
    <n v="68451.587570932446"/>
    <n v="52212.845677602883"/>
    <n v="64602.409219154033"/>
    <n v="185266.8424676893"/>
    <n v="0.92083545144450041"/>
    <n v="15363.502298632129"/>
    <n v="7.6361519344168821E-2"/>
    <n v="563.95349518007401"/>
  </r>
  <r>
    <x v="32"/>
    <n v="128895.4008401129"/>
    <n v="88829.864184604157"/>
    <n v="217725.26502471711"/>
    <n v="70399.882690638537"/>
    <n v="56477.362529146107"/>
    <n v="74894.271948510795"/>
    <n v="201771.51716829551"/>
    <n v="0.92672532581549283"/>
    <n v="15577.032427335231"/>
    <n v="7.1544441227649233E-2"/>
    <n v="376.71542908641021"/>
  </r>
  <r>
    <x v="33"/>
    <n v="126701.0786316224"/>
    <n v="92772.991238618692"/>
    <n v="219474.06987024099"/>
    <n v="69194.928196961584"/>
    <n v="58777.244539745217"/>
    <n v="75851.637144236141"/>
    <n v="203823.80988094301"/>
    <n v="0.92869198626265548"/>
    <n v="15270.068788078839"/>
    <n v="6.9575730732595945E-2"/>
    <n v="380.19120121924169"/>
  </r>
  <r>
    <x v="34"/>
    <n v="114990.03851846509"/>
    <n v="81444.164471036929"/>
    <n v="196434.202989502"/>
    <n v="59749.156718960767"/>
    <n v="59926.182952283263"/>
    <n v="60132.035308805578"/>
    <n v="179807.37498004959"/>
    <n v="0.91535675683556494"/>
    <n v="16272.92166439522"/>
    <n v="8.2841589788031425E-2"/>
    <n v="413.50634505722297"/>
  </r>
  <r>
    <x v="35"/>
    <n v="116918.69956965061"/>
    <n v="82091.03230619953"/>
    <n v="199009.73187585009"/>
    <n v="55741.665426259577"/>
    <n v="53068.702648654493"/>
    <n v="72207.603423811568"/>
    <n v="181017.97149872559"/>
    <n v="0.90959356506068567"/>
    <n v="17760.889194779149"/>
    <n v="8.9246334977522976E-2"/>
    <n v="230.87118234531479"/>
  </r>
  <r>
    <x v="36"/>
    <n v="128281.7983066945"/>
    <n v="92744.44866097506"/>
    <n v="221026.24696766949"/>
    <n v="64028.616400237232"/>
    <n v="49310.733961901256"/>
    <n v="89181.54930575144"/>
    <n v="202520.8996678899"/>
    <n v="0.91627534035590619"/>
    <n v="18308.189879196871"/>
    <n v="8.283265055789911E-2"/>
    <n v="197.15742058268731"/>
  </r>
  <r>
    <x v="37"/>
    <n v="110679.81311464369"/>
    <n v="81750.930645442058"/>
    <n v="192430.74376008581"/>
    <n v="58178.818430264088"/>
    <n v="43810.092690356818"/>
    <n v="74487.063021967653"/>
    <n v="176475.97414258859"/>
    <n v="0.91708825052721876"/>
    <n v="15689.263863585669"/>
    <n v="8.1532002407818757E-2"/>
    <n v="265.50575391152779"/>
  </r>
  <r>
    <x v="38"/>
    <n v="112544.1382040178"/>
    <n v="85809.486736154242"/>
    <n v="198353.62494017201"/>
    <n v="61533.752664486899"/>
    <n v="53857.682972464812"/>
    <n v="67675.847808524297"/>
    <n v="183067.283445476"/>
    <n v="0.92293389395174019"/>
    <n v="15149.475528448171"/>
    <n v="7.6376096141512917E-2"/>
    <n v="136.8659662478658"/>
  </r>
  <r>
    <x v="39"/>
    <n v="109921.29324457049"/>
    <n v="79872.962302305896"/>
    <n v="189794.2555468764"/>
    <n v="57235.181233929863"/>
    <n v="52795.515080954232"/>
    <n v="65120.995395592057"/>
    <n v="175151.69171047621"/>
    <n v="0.92285033182796317"/>
    <n v="14379.467787800801"/>
    <n v="7.5763451040009394E-2"/>
    <n v="263.09604859947649"/>
  </r>
  <r>
    <x v="40"/>
    <n v="117632.6645109526"/>
    <n v="83859.817851895918"/>
    <n v="201492.48236284859"/>
    <n v="60896.126750184267"/>
    <n v="55496.720974368443"/>
    <n v="70483.054811239417"/>
    <n v="186875.90253579209"/>
    <n v="0.92745843588975774"/>
    <n v="14109.447388333339"/>
    <n v="7.0024683913144661E-2"/>
    <n v="507.13243872309607"/>
  </r>
  <r>
    <x v="41"/>
    <n v="114939.8050383583"/>
    <n v="86963.656739497659"/>
    <n v="201903.46177785599"/>
    <n v="60335.687899184937"/>
    <n v="52979.844489812269"/>
    <n v="74076.240797664577"/>
    <n v="187391.7731866618"/>
    <n v="0.9281256078354877"/>
    <n v="14281.549681137139"/>
    <n v="7.0734545883370734E-2"/>
    <n v="230.13891005710681"/>
  </r>
  <r>
    <x v="42"/>
    <n v="124233.6199316353"/>
    <n v="99489.754913821947"/>
    <n v="223723.37484545729"/>
    <n v="68327.15909778513"/>
    <n v="59590.718116911288"/>
    <n v="80140.123267391798"/>
    <n v="208058.00048208819"/>
    <n v="0.92997882150584266"/>
    <n v="15301.852798151751"/>
    <n v="6.8396307756048755E-2"/>
    <n v="363.52156521729381"/>
  </r>
  <r>
    <x v="43"/>
    <n v="117395.8877565736"/>
    <n v="95192.751324099576"/>
    <n v="212588.63908067319"/>
    <n v="61189.032861273306"/>
    <n v="53957.270333426823"/>
    <n v="81328.253847051325"/>
    <n v="196474.55704175151"/>
    <n v="0.92420064351224906"/>
    <n v="15843.46921888307"/>
    <n v="7.4526415369124147E-2"/>
    <n v="270.61282003869752"/>
  </r>
  <r>
    <x v="44"/>
    <n v="113511.10781314901"/>
    <n v="90983.765134032132"/>
    <n v="204494.87294718111"/>
    <n v="57208.931128701057"/>
    <n v="56867.209211170877"/>
    <n v="75571.941454308195"/>
    <n v="189648.08179418021"/>
    <n v="0.92739773404081505"/>
    <n v="14618.619490632849"/>
    <n v="7.1486484135026146E-2"/>
    <n v="228.17166236813679"/>
  </r>
  <r>
    <x v="45"/>
    <n v="134524.07497219919"/>
    <n v="85870.077597888041"/>
    <n v="220396.44726008741"/>
    <n v="66728.963868276245"/>
    <n v="64895.285836736759"/>
    <n v="70698.824041359156"/>
    <n v="202323.07374637219"/>
    <n v="0.91799607598761745"/>
    <n v="18073.373513715222"/>
    <n v="8.2003924012382226E-2"/>
    <n v="6.5483618527650833E-11"/>
  </r>
  <r>
    <x v="46"/>
    <n v="134000.23925634351"/>
    <n v="92800.967105892647"/>
    <n v="226747.04576223611"/>
    <n v="65192.169447461551"/>
    <n v="63097.235104370433"/>
    <n v="80391.744949255721"/>
    <n v="208681.1495010877"/>
    <n v="0.92032577006497318"/>
    <n v="18065.681791148501"/>
    <n v="7.967328407926394E-2"/>
    <n v="0.21446999994441279"/>
  </r>
  <r>
    <x v="47"/>
    <n v="123078.04236853099"/>
    <n v="92246.403107745995"/>
    <n v="215324.445476277"/>
    <n v="53084.968018496402"/>
    <n v="66986.504657435697"/>
    <n v="76186.300804162805"/>
    <n v="196257.77348009491"/>
    <n v="0.91145142877758989"/>
    <n v="19066.671996181602"/>
    <n v="8.8548571222407918E-2"/>
    <n v="4.6202330850064749E-10"/>
  </r>
  <r>
    <x v="48"/>
    <n v="128626.1161273429"/>
    <n v="107689.0274640445"/>
    <n v="236315.1435913874"/>
    <n v="69649.564990531202"/>
    <n v="64206.089960242753"/>
    <n v="83476.38573775324"/>
    <n v="217332.0406885272"/>
    <n v="0.91967039177275978"/>
    <n v="18718.64426604352"/>
    <n v="7.9210515168718659E-2"/>
    <n v="264.45863681666009"/>
  </r>
  <r>
    <x v="49"/>
    <n v="114046.4645204877"/>
    <n v="85634.768938163746"/>
    <n v="199681.23345865149"/>
    <n v="66191.652372324403"/>
    <n v="58473.652248621693"/>
    <n v="58985.155241889232"/>
    <n v="183650.4598628353"/>
    <n v="0.91971817622442875"/>
    <n v="15852.82585200595"/>
    <n v="7.9390664698035504E-2"/>
    <n v="177.94774381021489"/>
  </r>
  <r>
    <x v="50"/>
    <n v="127608.0545904475"/>
    <n v="103669.5031775901"/>
    <n v="231277.5577680376"/>
    <n v="68896.165949544215"/>
    <n v="64303.748951515663"/>
    <n v="81524.330504603466"/>
    <n v="214724.2454056633"/>
    <n v="0.92842663800965675"/>
    <n v="16377.648145662801"/>
    <n v="7.0813823458344138E-2"/>
    <n v="175.66421671146961"/>
  </r>
  <r>
    <x v="51"/>
    <n v="115833.9222148871"/>
    <n v="112475.2359723241"/>
    <n v="228309.15818721149"/>
    <n v="64356.066550235228"/>
    <n v="64097.817870443701"/>
    <n v="83370.236095185159"/>
    <n v="211824.12051586411"/>
    <n v="0.92779510991920089"/>
    <n v="16485.037671347211"/>
    <n v="7.2204890080798348E-2"/>
    <n v="1.746229827404022E-10"/>
  </r>
  <r>
    <x v="52"/>
    <n v="122287.18071840319"/>
    <n v="117838.4922581611"/>
    <n v="240125.6729765643"/>
    <n v="69753.665494022425"/>
    <n v="57297.86678238427"/>
    <n v="85634.522742209941"/>
    <n v="212686.05501861661"/>
    <n v="0.88572809555175847"/>
    <n v="16819.185088967199"/>
    <n v="7.0043260599664023E-2"/>
    <n v="10620.432868980461"/>
  </r>
  <r>
    <x v="53"/>
    <n v="121214.79100358811"/>
    <n v="116012.89919651909"/>
    <n v="236962.3693601072"/>
    <n v="69429.483329694835"/>
    <n v="62282.774531623523"/>
    <n v="88076.142779325906"/>
    <n v="219788.40064064419"/>
    <n v="0.92752448937002319"/>
    <n v="17164.085919462941"/>
    <n v="7.243380442984601E-2"/>
    <n v="9.882800000010320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A2FF9F7-ADA9-40B9-A4AA-BA17F7EFA775}"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3">
  <location ref="AV2:AW8" firstHeaderRow="1" firstDataRow="1" firstDataCol="1"/>
  <pivotFields count="15">
    <pivotField numFmtId="14" showAll="0">
      <items count="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t="default"/>
      </items>
    </pivotField>
    <pivotField numFmtId="2" showAll="0"/>
    <pivotField numFmtId="2" showAll="0"/>
    <pivotField numFmtId="2" showAll="0"/>
    <pivotField numFmtId="2" showAll="0"/>
    <pivotField numFmtId="2" showAll="0"/>
    <pivotField numFmtId="2" showAll="0"/>
    <pivotField numFmtId="2" showAll="0"/>
    <pivotField numFmtId="10" showAll="0"/>
    <pivotField numFmtId="2" showAll="0"/>
    <pivotField numFmtId="10" showAll="0"/>
    <pivotField dataField="1" numFmtId="2"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8">
        <item h="1" sd="0" x="0"/>
        <item sd="0" x="1"/>
        <item sd="0" x="2"/>
        <item sd="0" x="3"/>
        <item sd="0" x="4"/>
        <item sd="0" x="5"/>
        <item h="1" sd="0" x="6"/>
        <item t="default" sd="0"/>
      </items>
    </pivotField>
  </pivotFields>
  <rowFields count="1">
    <field x="14"/>
  </rowFields>
  <rowItems count="6">
    <i>
      <x v="1"/>
    </i>
    <i>
      <x v="2"/>
    </i>
    <i>
      <x v="3"/>
    </i>
    <i>
      <x v="4"/>
    </i>
    <i>
      <x v="5"/>
    </i>
    <i t="grand">
      <x/>
    </i>
  </rowItems>
  <colItems count="1">
    <i/>
  </colItems>
  <dataFields count="1">
    <dataField name="Sum of Gas Shrinkage" fld="11" baseField="0" baseItem="0" numFmtId="2"/>
  </dataFields>
  <formats count="1">
    <format dxfId="44">
      <pivotArea outline="0" collapsedLevelsAreSubtotals="1" fieldPosition="0"/>
    </format>
  </formats>
  <chartFormats count="2">
    <chartFormat chart="48" format="0" series="1">
      <pivotArea type="data" outline="0" fieldPosition="0">
        <references count="1">
          <reference field="4294967294" count="1" selected="0">
            <x v="0"/>
          </reference>
        </references>
      </pivotArea>
    </chartFormat>
    <chartFormat chart="5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F60E18A-F7F8-434B-AB10-0A3F90F7C4F9}"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8">
  <location ref="AS2:AT8" firstHeaderRow="1" firstDataRow="1" firstDataCol="1"/>
  <pivotFields count="15">
    <pivotField numFmtId="14" showAll="0">
      <items count="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t="default"/>
      </items>
    </pivotField>
    <pivotField numFmtId="2" showAll="0"/>
    <pivotField numFmtId="2" showAll="0"/>
    <pivotField numFmtId="2" showAll="0"/>
    <pivotField numFmtId="2" showAll="0"/>
    <pivotField numFmtId="2" showAll="0"/>
    <pivotField numFmtId="2" showAll="0"/>
    <pivotField numFmtId="2" showAll="0"/>
    <pivotField numFmtId="10" showAll="0"/>
    <pivotField dataField="1" numFmtId="2" showAll="0"/>
    <pivotField numFmtId="10" showAll="0"/>
    <pivotField numFmtId="2"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8">
        <item h="1" sd="0" x="0"/>
        <item sd="0" x="1"/>
        <item sd="0" x="2"/>
        <item sd="0" x="3"/>
        <item sd="0" x="4"/>
        <item sd="0" x="5"/>
        <item h="1" sd="0" x="6"/>
        <item t="default" sd="0"/>
      </items>
    </pivotField>
  </pivotFields>
  <rowFields count="1">
    <field x="14"/>
  </rowFields>
  <rowItems count="6">
    <i>
      <x v="1"/>
    </i>
    <i>
      <x v="2"/>
    </i>
    <i>
      <x v="3"/>
    </i>
    <i>
      <x v="4"/>
    </i>
    <i>
      <x v="5"/>
    </i>
    <i t="grand">
      <x/>
    </i>
  </rowItems>
  <colItems count="1">
    <i/>
  </colItems>
  <dataFields count="1">
    <dataField name="Sum of Total Gas Flared" fld="9" baseField="0" baseItem="0" numFmtId="2"/>
  </dataFields>
  <formats count="1">
    <format dxfId="45">
      <pivotArea outline="0" collapsedLevelsAreSubtotals="1" fieldPosition="0"/>
    </format>
  </formats>
  <chartFormats count="2">
    <chartFormat chart="43" format="0" series="1">
      <pivotArea type="data" outline="0" fieldPosition="0">
        <references count="1">
          <reference field="4294967294" count="1" selected="0">
            <x v="0"/>
          </reference>
        </references>
      </pivotArea>
    </chartFormat>
    <chartFormat chart="4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4BCDE23-3EC4-42F4-AD52-3EE1DCEDD418}"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3">
  <location ref="AP2:AQ8" firstHeaderRow="1" firstDataRow="1" firstDataCol="1"/>
  <pivotFields count="15">
    <pivotField numFmtId="14" showAll="0">
      <items count="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t="default"/>
      </items>
    </pivotField>
    <pivotField numFmtId="2" showAll="0"/>
    <pivotField numFmtId="2" showAll="0"/>
    <pivotField numFmtId="2" showAll="0"/>
    <pivotField numFmtId="2" showAll="0"/>
    <pivotField numFmtId="2" showAll="0"/>
    <pivotField numFmtId="2" showAll="0"/>
    <pivotField dataField="1" numFmtId="2" showAll="0"/>
    <pivotField numFmtId="10" showAll="0"/>
    <pivotField numFmtId="2" showAll="0"/>
    <pivotField numFmtId="10" showAll="0"/>
    <pivotField numFmtId="2"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8">
        <item h="1" sd="0" x="0"/>
        <item sd="0" x="1"/>
        <item sd="0" x="2"/>
        <item sd="0" x="3"/>
        <item sd="0" x="4"/>
        <item sd="0" x="5"/>
        <item h="1" sd="0" x="6"/>
        <item t="default" sd="0"/>
      </items>
    </pivotField>
  </pivotFields>
  <rowFields count="1">
    <field x="14"/>
  </rowFields>
  <rowItems count="6">
    <i>
      <x v="1"/>
    </i>
    <i>
      <x v="2"/>
    </i>
    <i>
      <x v="3"/>
    </i>
    <i>
      <x v="4"/>
    </i>
    <i>
      <x v="5"/>
    </i>
    <i t="grand">
      <x/>
    </i>
  </rowItems>
  <colItems count="1">
    <i/>
  </colItems>
  <dataFields count="1">
    <dataField name="Sum of Total Gas Utilized" fld="7" baseField="0" baseItem="0" numFmtId="2"/>
  </dataFields>
  <formats count="1">
    <format dxfId="46">
      <pivotArea outline="0" collapsedLevelsAreSubtotals="1" fieldPosition="0"/>
    </format>
  </formats>
  <chartFormats count="2">
    <chartFormat chart="39" format="2" series="1">
      <pivotArea type="data" outline="0" fieldPosition="0">
        <references count="1">
          <reference field="4294967294" count="1" selected="0">
            <x v="0"/>
          </reference>
        </references>
      </pivotArea>
    </chartFormat>
    <chartFormat chart="4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41F72DD-3F07-4DAF-B68A-7C9B0BC4E1B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location ref="AM2:AN8" firstHeaderRow="1" firstDataRow="1" firstDataCol="1"/>
  <pivotFields count="15">
    <pivotField numFmtId="14" showAll="0">
      <items count="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t="default"/>
      </items>
    </pivotField>
    <pivotField numFmtId="2" showAll="0"/>
    <pivotField numFmtId="2" showAll="0"/>
    <pivotField dataField="1" numFmtId="2" showAll="0"/>
    <pivotField numFmtId="2" showAll="0"/>
    <pivotField numFmtId="2" showAll="0"/>
    <pivotField numFmtId="2" showAll="0"/>
    <pivotField numFmtId="2" showAll="0"/>
    <pivotField numFmtId="10" showAll="0"/>
    <pivotField numFmtId="2" showAll="0"/>
    <pivotField numFmtId="10" showAll="0"/>
    <pivotField numFmtId="2"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8">
        <item h="1" sd="0" x="0"/>
        <item sd="0" x="1"/>
        <item sd="0" x="2"/>
        <item sd="0" x="3"/>
        <item sd="0" x="4"/>
        <item sd="0" x="5"/>
        <item h="1" sd="0" x="6"/>
        <item t="default" sd="0"/>
      </items>
    </pivotField>
  </pivotFields>
  <rowFields count="1">
    <field x="14"/>
  </rowFields>
  <rowItems count="6">
    <i>
      <x v="1"/>
    </i>
    <i>
      <x v="2"/>
    </i>
    <i>
      <x v="3"/>
    </i>
    <i>
      <x v="4"/>
    </i>
    <i>
      <x v="5"/>
    </i>
    <i t="grand">
      <x/>
    </i>
  </rowItems>
  <colItems count="1">
    <i/>
  </colItems>
  <dataFields count="1">
    <dataField name="Sum of Total Gas Production" fld="3" baseField="0" baseItem="0" numFmtId="2"/>
  </dataFields>
  <formats count="1">
    <format dxfId="43">
      <pivotArea outline="0" collapsedLevelsAreSubtotals="1" fieldPosition="0"/>
    </format>
  </formats>
  <chartFormats count="2">
    <chartFormat chart="28" format="4"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14545AC-8753-43C2-AF54-BE6A546D5001}"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W3:X9" firstHeaderRow="1" firstDataRow="1" firstDataCol="1"/>
  <pivotFields count="15">
    <pivotField numFmtId="14" showAll="0">
      <items count="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t="default"/>
      </items>
    </pivotField>
    <pivotField numFmtId="2" showAll="0"/>
    <pivotField numFmtId="2" showAll="0"/>
    <pivotField numFmtId="2" showAll="0"/>
    <pivotField numFmtId="2" showAll="0"/>
    <pivotField numFmtId="2" showAll="0"/>
    <pivotField numFmtId="2" showAll="0"/>
    <pivotField numFmtId="2" showAll="0"/>
    <pivotField numFmtId="10" showAll="0"/>
    <pivotField dataField="1" numFmtId="2" showAll="0"/>
    <pivotField numFmtId="10" showAll="0"/>
    <pivotField numFmtId="2"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8">
        <item h="1" sd="0" x="0"/>
        <item sd="0" x="1"/>
        <item sd="0" x="2"/>
        <item sd="0" x="3"/>
        <item sd="0" x="4"/>
        <item sd="0" x="5"/>
        <item h="1" sd="0" x="6"/>
        <item t="default" sd="0"/>
      </items>
    </pivotField>
  </pivotFields>
  <rowFields count="1">
    <field x="14"/>
  </rowFields>
  <rowItems count="6">
    <i>
      <x v="1"/>
    </i>
    <i>
      <x v="2"/>
    </i>
    <i>
      <x v="3"/>
    </i>
    <i>
      <x v="4"/>
    </i>
    <i>
      <x v="5"/>
    </i>
    <i t="grand">
      <x/>
    </i>
  </rowItems>
  <colItems count="1">
    <i/>
  </colItems>
  <dataFields count="1">
    <dataField name="Sum of Total Gas Flared" fld="9" baseField="0" baseItem="0" numFmtId="2"/>
  </dataFields>
  <chartFormats count="4">
    <chartFormat chart="11" format="0" series="1">
      <pivotArea type="data" outline="0" fieldPosition="0">
        <references count="1">
          <reference field="4294967294" count="1" selected="0">
            <x v="0"/>
          </reference>
        </references>
      </pivotArea>
    </chartFormat>
    <chartFormat chart="11" format="1">
      <pivotArea type="data" outline="0" fieldPosition="0">
        <references count="2">
          <reference field="4294967294" count="1" selected="0">
            <x v="0"/>
          </reference>
          <reference field="14" count="1" selected="0">
            <x v="5"/>
          </reference>
        </references>
      </pivotArea>
    </chartFormat>
    <chartFormat chart="15" format="4" series="1">
      <pivotArea type="data" outline="0" fieldPosition="0">
        <references count="1">
          <reference field="4294967294" count="1" selected="0">
            <x v="0"/>
          </reference>
        </references>
      </pivotArea>
    </chartFormat>
    <chartFormat chart="15" format="5">
      <pivotArea type="data" outline="0" fieldPosition="0">
        <references count="2">
          <reference field="4294967294" count="1" selected="0">
            <x v="0"/>
          </reference>
          <reference field="1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E609128-0145-44AF-AED6-29A7DE672C4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L3:N9" firstHeaderRow="0" firstDataRow="1" firstDataCol="1"/>
  <pivotFields count="15">
    <pivotField numFmtId="14" showAll="0">
      <items count="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t="default"/>
      </items>
    </pivotField>
    <pivotField dataField="1" numFmtId="2" showAll="0"/>
    <pivotField dataField="1" numFmtId="2" showAll="0"/>
    <pivotField numFmtId="2" showAll="0"/>
    <pivotField numFmtId="2" showAll="0"/>
    <pivotField numFmtId="2" showAll="0"/>
    <pivotField numFmtId="2" showAll="0"/>
    <pivotField numFmtId="2" showAll="0"/>
    <pivotField numFmtId="10" showAll="0"/>
    <pivotField numFmtId="2" showAll="0"/>
    <pivotField numFmtId="10" showAll="0"/>
    <pivotField numFmtId="2"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8">
        <item h="1" sd="0" x="0"/>
        <item sd="0" x="1"/>
        <item sd="0" x="2"/>
        <item sd="0" x="3"/>
        <item sd="0" x="4"/>
        <item sd="0" x="5"/>
        <item h="1" sd="0" x="6"/>
        <item t="default" sd="0"/>
      </items>
    </pivotField>
  </pivotFields>
  <rowFields count="1">
    <field x="14"/>
  </rowFields>
  <rowItems count="6">
    <i>
      <x v="1"/>
    </i>
    <i>
      <x v="2"/>
    </i>
    <i>
      <x v="3"/>
    </i>
    <i>
      <x v="4"/>
    </i>
    <i>
      <x v="5"/>
    </i>
    <i t="grand">
      <x/>
    </i>
  </rowItems>
  <colFields count="1">
    <field x="-2"/>
  </colFields>
  <colItems count="2">
    <i>
      <x/>
    </i>
    <i i="1">
      <x v="1"/>
    </i>
  </colItems>
  <dataFields count="2">
    <dataField name="Associated Gas" fld="1" baseField="14" baseItem="1" numFmtId="2"/>
    <dataField name="Non-Associated Gas" fld="2" baseField="14" baseItem="1" numFmtId="2"/>
  </dataFields>
  <formats count="1">
    <format dxfId="48">
      <pivotArea outline="0" collapsedLevelsAreSubtotals="1" fieldPosition="0"/>
    </format>
  </formats>
  <chartFormats count="4">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FBFAD15-A22D-4B00-A102-41431B39A96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Q3:T9" firstHeaderRow="0" firstDataRow="1" firstDataCol="1"/>
  <pivotFields count="15">
    <pivotField numFmtId="14" showAll="0">
      <items count="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t="default"/>
      </items>
    </pivotField>
    <pivotField numFmtId="2" showAll="0"/>
    <pivotField numFmtId="2" showAll="0"/>
    <pivotField numFmtId="2" showAll="0"/>
    <pivotField dataField="1" numFmtId="2" showAll="0"/>
    <pivotField dataField="1" numFmtId="2" showAll="0"/>
    <pivotField dataField="1" numFmtId="2" showAll="0"/>
    <pivotField numFmtId="2" showAll="0"/>
    <pivotField numFmtId="10" showAll="0"/>
    <pivotField numFmtId="2" showAll="0"/>
    <pivotField numFmtId="10" showAll="0"/>
    <pivotField numFmtId="2"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8">
        <item h="1" sd="0" x="0"/>
        <item sd="0" x="1"/>
        <item sd="0" x="2"/>
        <item sd="0" x="3"/>
        <item sd="0" x="4"/>
        <item sd="0" x="5"/>
        <item h="1" sd="0" x="6"/>
        <item t="default" sd="0"/>
      </items>
    </pivotField>
  </pivotFields>
  <rowFields count="1">
    <field x="14"/>
  </rowFields>
  <rowItems count="6">
    <i>
      <x v="1"/>
    </i>
    <i>
      <x v="2"/>
    </i>
    <i>
      <x v="3"/>
    </i>
    <i>
      <x v="4"/>
    </i>
    <i>
      <x v="5"/>
    </i>
    <i t="grand">
      <x/>
    </i>
  </rowItems>
  <colFields count="1">
    <field x="-2"/>
  </colFields>
  <colItems count="3">
    <i>
      <x/>
    </i>
    <i i="1">
      <x v="1"/>
    </i>
    <i i="2">
      <x v="2"/>
    </i>
  </colItems>
  <dataFields count="3">
    <dataField name="Exported Sale" fld="6" baseField="14" baseItem="1" numFmtId="2"/>
    <dataField name="Field Usage" fld="4" baseField="0" baseItem="0" numFmtId="2"/>
    <dataField name="Domestic Sale" fld="5" baseField="0" baseItem="0" numFmtId="2"/>
  </dataFields>
  <formats count="1">
    <format dxfId="49">
      <pivotArea outline="0" collapsedLevelsAreSubtotals="1" fieldPosition="0"/>
    </format>
  </formats>
  <chartFormats count="6">
    <chartFormat chart="4" format="0" series="1">
      <pivotArea type="data" outline="0" fieldPosition="0">
        <references count="1">
          <reference field="4294967294" count="1" selected="0">
            <x v="1"/>
          </reference>
        </references>
      </pivotArea>
    </chartFormat>
    <chartFormat chart="4" format="1" series="1">
      <pivotArea type="data" outline="0" fieldPosition="0">
        <references count="1">
          <reference field="4294967294" count="1" selected="0">
            <x v="2"/>
          </reference>
        </references>
      </pivotArea>
    </chartFormat>
    <chartFormat chart="4" format="2"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0"/>
          </reference>
        </references>
      </pivotArea>
    </chartFormat>
    <chartFormat chart="8" format="7" series="1">
      <pivotArea type="data" outline="0" fieldPosition="0">
        <references count="1">
          <reference field="4294967294" count="1" selected="0">
            <x v="1"/>
          </reference>
        </references>
      </pivotArea>
    </chartFormat>
    <chartFormat chart="8"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5EF7D19-C8B8-4E6B-A212-29416ED3802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9" firstHeaderRow="1" firstDataRow="1" firstDataCol="1"/>
  <pivotFields count="15">
    <pivotField numFmtId="14" showAll="0">
      <items count="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t="default"/>
      </items>
    </pivotField>
    <pivotField numFmtId="2" showAll="0"/>
    <pivotField numFmtId="2" showAll="0"/>
    <pivotField dataField="1" numFmtId="2" showAll="0"/>
    <pivotField numFmtId="2" showAll="0"/>
    <pivotField numFmtId="2" showAll="0"/>
    <pivotField numFmtId="2" showAll="0"/>
    <pivotField numFmtId="2" showAll="0"/>
    <pivotField numFmtId="10" showAll="0"/>
    <pivotField numFmtId="2" showAll="0"/>
    <pivotField numFmtId="10" showAll="0"/>
    <pivotField numFmtId="2"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8">
        <item h="1" x="0"/>
        <item x="1"/>
        <item x="2"/>
        <item x="3"/>
        <item x="4"/>
        <item x="5"/>
        <item h="1" x="6"/>
        <item t="default"/>
      </items>
    </pivotField>
  </pivotFields>
  <rowFields count="1">
    <field x="14"/>
  </rowFields>
  <rowItems count="6">
    <i>
      <x v="1"/>
    </i>
    <i>
      <x v="2"/>
    </i>
    <i>
      <x v="3"/>
    </i>
    <i>
      <x v="4"/>
    </i>
    <i>
      <x v="5"/>
    </i>
    <i t="grand">
      <x/>
    </i>
  </rowItems>
  <colItems count="1">
    <i/>
  </colItems>
  <dataFields count="1">
    <dataField name="Sum of Total Gas Production" fld="3" baseField="0" baseItem="0" numFmtId="164"/>
  </dataFields>
  <formats count="1">
    <format dxfId="42">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6405958-F715-4759-8BD7-A6AFF6CE8CF9}"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G2:AI8" firstHeaderRow="0" firstDataRow="1" firstDataCol="1"/>
  <pivotFields count="15">
    <pivotField numFmtId="14" showAll="0">
      <items count="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t="default"/>
      </items>
    </pivotField>
    <pivotField numFmtId="2" showAll="0"/>
    <pivotField numFmtId="2" showAll="0"/>
    <pivotField numFmtId="2" showAll="0"/>
    <pivotField numFmtId="2" showAll="0"/>
    <pivotField dataField="1" numFmtId="2" showAll="0"/>
    <pivotField dataField="1" numFmtId="2" showAll="0"/>
    <pivotField numFmtId="2" showAll="0"/>
    <pivotField numFmtId="10" showAll="0"/>
    <pivotField numFmtId="2" showAll="0"/>
    <pivotField numFmtId="10" showAll="0"/>
    <pivotField numFmtId="2"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8">
        <item h="1" sd="0" x="0"/>
        <item sd="0" x="1"/>
        <item sd="0" x="2"/>
        <item sd="0" x="3"/>
        <item sd="0" x="4"/>
        <item sd="0" x="5"/>
        <item h="1" sd="0" x="6"/>
        <item t="default" sd="0"/>
      </items>
    </pivotField>
  </pivotFields>
  <rowFields count="1">
    <field x="14"/>
  </rowFields>
  <rowItems count="6">
    <i>
      <x v="1"/>
    </i>
    <i>
      <x v="2"/>
    </i>
    <i>
      <x v="3"/>
    </i>
    <i>
      <x v="4"/>
    </i>
    <i>
      <x v="5"/>
    </i>
    <i t="grand">
      <x/>
    </i>
  </rowItems>
  <colFields count="1">
    <field x="-2"/>
  </colFields>
  <colItems count="2">
    <i>
      <x/>
    </i>
    <i i="1">
      <x v="1"/>
    </i>
  </colItems>
  <dataFields count="2">
    <dataField name="Exported Gas Sales" fld="6" baseField="0" baseItem="0" numFmtId="2"/>
    <dataField name="Domestic Gas Sales" fld="5" baseField="0" baseItem="0" numFmtId="2"/>
  </dataFields>
  <chartFormats count="4">
    <chartFormat chart="15" format="0" series="1">
      <pivotArea type="data" outline="0" fieldPosition="0">
        <references count="1">
          <reference field="4294967294" count="1" selected="0">
            <x v="1"/>
          </reference>
        </references>
      </pivotArea>
    </chartFormat>
    <chartFormat chart="15" format="1" series="1">
      <pivotArea type="data" outline="0" fieldPosition="0">
        <references count="1">
          <reference field="4294967294" count="1" selected="0">
            <x v="0"/>
          </reference>
        </references>
      </pivotArea>
    </chartFormat>
    <chartFormat chart="21" format="4" series="1">
      <pivotArea type="data" outline="0" fieldPosition="0">
        <references count="1">
          <reference field="4294967294" count="1" selected="0">
            <x v="0"/>
          </reference>
        </references>
      </pivotArea>
    </chartFormat>
    <chartFormat chart="21"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C103156-F791-42DE-9A20-0DCFD1D4239D}"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A3:AB9" firstHeaderRow="1" firstDataRow="1" firstDataCol="1"/>
  <pivotFields count="15">
    <pivotField numFmtId="14" showAll="0">
      <items count="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t="default"/>
      </items>
    </pivotField>
    <pivotField numFmtId="2" showAll="0"/>
    <pivotField numFmtId="2" showAll="0"/>
    <pivotField numFmtId="2" showAll="0"/>
    <pivotField numFmtId="2" showAll="0"/>
    <pivotField numFmtId="2" showAll="0"/>
    <pivotField numFmtId="2" showAll="0"/>
    <pivotField dataField="1" numFmtId="2" showAll="0"/>
    <pivotField numFmtId="10" showAll="0"/>
    <pivotField numFmtId="2" showAll="0"/>
    <pivotField numFmtId="10" showAll="0"/>
    <pivotField numFmtId="2"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8">
        <item h="1" sd="0" x="0"/>
        <item sd="0" x="1"/>
        <item sd="0" x="2"/>
        <item sd="0" x="3"/>
        <item sd="0" x="4"/>
        <item sd="0" x="5"/>
        <item h="1" sd="0" x="6"/>
        <item t="default" sd="0"/>
      </items>
    </pivotField>
  </pivotFields>
  <rowFields count="1">
    <field x="14"/>
  </rowFields>
  <rowItems count="6">
    <i>
      <x v="1"/>
    </i>
    <i>
      <x v="2"/>
    </i>
    <i>
      <x v="3"/>
    </i>
    <i>
      <x v="4"/>
    </i>
    <i>
      <x v="5"/>
    </i>
    <i t="grand">
      <x/>
    </i>
  </rowItems>
  <colItems count="1">
    <i/>
  </colItems>
  <dataFields count="1">
    <dataField name="Sum of Total Gas Utilized" fld="7" baseField="0" baseItem="0" numFmtId="2"/>
  </dataFields>
  <chartFormats count="4">
    <chartFormat chart="13" format="0" series="1">
      <pivotArea type="data" outline="0" fieldPosition="0">
        <references count="1">
          <reference field="4294967294" count="1" selected="0">
            <x v="0"/>
          </reference>
        </references>
      </pivotArea>
    </chartFormat>
    <chartFormat chart="13" format="1">
      <pivotArea type="data" outline="0" fieldPosition="0">
        <references count="2">
          <reference field="4294967294" count="1" selected="0">
            <x v="0"/>
          </reference>
          <reference field="14" count="1" selected="0">
            <x v="5"/>
          </reference>
        </references>
      </pivotArea>
    </chartFormat>
    <chartFormat chart="17" format="4" series="1">
      <pivotArea type="data" outline="0" fieldPosition="0">
        <references count="1">
          <reference field="4294967294" count="1" selected="0">
            <x v="0"/>
          </reference>
        </references>
      </pivotArea>
    </chartFormat>
    <chartFormat chart="17" format="5">
      <pivotArea type="data" outline="0" fieldPosition="0">
        <references count="2">
          <reference field="4294967294" count="1" selected="0">
            <x v="0"/>
          </reference>
          <reference field="1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Date" xr10:uid="{79392115-CDD1-4A2F-A3DC-057D0AEF93B5}" sourceName="Years (Date)">
  <pivotTables>
    <pivotTable tabId="3" name="PivotTable1"/>
    <pivotTable tabId="3" name="PivotTable10"/>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s>
  <data>
    <tabular pivotCacheId="2087449297">
      <items count="7">
        <i x="1" s="1"/>
        <i x="2" s="1"/>
        <i x="3" s="1"/>
        <i x="4" s="1"/>
        <i x="5" s="1"/>
        <i x="0" nd="1"/>
        <i x="6"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Date)" xr10:uid="{DF26574B-F2E1-4C4D-B067-4070EB7C0FEB}" cache="Slicer_Years__Date" caption="Years (Date)" showCaption="0"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Date) 1" xr10:uid="{31EA916D-897E-45F0-B2CF-28B4DF41B24D}" cache="Slicer_Years__Date" caption="Years" style="SlicerStyleLight4"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615FE88-EABF-4B33-8D61-B2B002476EE2}" name="Table1" displayName="Table1" ref="A1:L55" totalsRowShown="0" headerRowDxfId="64" headerRowBorderDxfId="63" tableBorderDxfId="62">
  <autoFilter ref="A1:L55" xr:uid="{D615FE88-EABF-4B33-8D61-B2B002476EE2}"/>
  <tableColumns count="12">
    <tableColumn id="1" xr3:uid="{56560DBB-44C2-40F9-A968-EA5FBA9CC967}" name="Date" dataDxfId="61"/>
    <tableColumn id="2" xr3:uid="{0A49E766-04BB-4463-BEC8-4F1B1E4193C7}" name="AG Production" dataDxfId="60"/>
    <tableColumn id="3" xr3:uid="{8EE423C7-16E9-46B0-ABD9-DD34A73F2A98}" name="NAG Production" dataDxfId="59"/>
    <tableColumn id="4" xr3:uid="{230F7E78-732F-4434-9E4C-D1024E632329}" name="Total Gas Production" dataDxfId="58"/>
    <tableColumn id="5" xr3:uid="{52910B21-1577-4F30-BC0C-ACCB4991AD58}" name="Field Use" dataDxfId="57"/>
    <tableColumn id="6" xr3:uid="{3BEB2283-B75B-45B7-9865-1CB696426D01}" name="Domestic Sales" dataDxfId="56"/>
    <tableColumn id="7" xr3:uid="{31EE1816-9654-4332-A4D8-BC66F057E550}" name="Export Sales" dataDxfId="55"/>
    <tableColumn id="8" xr3:uid="{542F481E-BBBA-41EB-A385-06E47B847428}" name="Total Gas Utilized" dataDxfId="54"/>
    <tableColumn id="9" xr3:uid="{5223FC06-1F4C-4655-9D4F-B289265F74B5}" name="% Utilized" dataDxfId="53"/>
    <tableColumn id="10" xr3:uid="{81CE3CAD-9156-4A7D-8570-363FF4A96B48}" name="Total Gas Flared" dataDxfId="52"/>
    <tableColumn id="11" xr3:uid="{F57F5632-E80F-47D5-8367-8EC34269FED8}" name="% Flared" dataDxfId="51"/>
    <tableColumn id="12" xr3:uid="{4F0C3707-93E6-42AF-95E7-4102BD5ECA93}" name="Gas Shrinkage" dataDxfId="5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55"/>
  <sheetViews>
    <sheetView topLeftCell="C1" workbookViewId="0">
      <selection activeCell="C56" sqref="C56"/>
    </sheetView>
  </sheetViews>
  <sheetFormatPr defaultRowHeight="14.4" x14ac:dyDescent="0.3"/>
  <cols>
    <col min="1" max="1" width="10.5546875" style="1" customWidth="1"/>
    <col min="2" max="2" width="15.109375" style="2" customWidth="1"/>
    <col min="3" max="3" width="16.44140625" style="2" customWidth="1"/>
    <col min="4" max="4" width="20.33203125" style="2" customWidth="1"/>
    <col min="5" max="5" width="12" style="2" bestFit="1" customWidth="1"/>
    <col min="6" max="6" width="15.33203125" style="2" customWidth="1"/>
    <col min="7" max="7" width="13" style="2" customWidth="1"/>
    <col min="8" max="8" width="17.21875" style="2" customWidth="1"/>
    <col min="9" max="9" width="14" style="3" bestFit="1" customWidth="1"/>
    <col min="10" max="10" width="16.109375" style="2" customWidth="1"/>
    <col min="11" max="11" width="12.77734375" style="3" bestFit="1" customWidth="1"/>
    <col min="12" max="12" width="14.6640625" style="2" customWidth="1"/>
    <col min="13" max="13" width="9.5546875" bestFit="1" customWidth="1"/>
  </cols>
  <sheetData>
    <row r="1" spans="1:13" x14ac:dyDescent="0.3">
      <c r="A1" s="8" t="s">
        <v>0</v>
      </c>
      <c r="B1" s="9" t="s">
        <v>1</v>
      </c>
      <c r="C1" s="9" t="s">
        <v>2</v>
      </c>
      <c r="D1" s="9" t="s">
        <v>3</v>
      </c>
      <c r="E1" s="9" t="s">
        <v>4</v>
      </c>
      <c r="F1" s="9" t="s">
        <v>5</v>
      </c>
      <c r="G1" s="9" t="s">
        <v>6</v>
      </c>
      <c r="H1" s="9" t="s">
        <v>7</v>
      </c>
      <c r="I1" s="10" t="s">
        <v>8</v>
      </c>
      <c r="J1" s="9" t="s">
        <v>9</v>
      </c>
      <c r="K1" s="10" t="s">
        <v>10</v>
      </c>
      <c r="L1" s="9" t="s">
        <v>11</v>
      </c>
    </row>
    <row r="2" spans="1:13" x14ac:dyDescent="0.3">
      <c r="A2" s="1">
        <v>44227</v>
      </c>
      <c r="B2" s="2">
        <v>117415.3514827326</v>
      </c>
      <c r="C2" s="2">
        <v>119293.7722519096</v>
      </c>
      <c r="D2" s="2">
        <v>236709.12373464211</v>
      </c>
      <c r="E2" s="2">
        <v>57491.301073187467</v>
      </c>
      <c r="F2" s="2">
        <v>49124.812422269002</v>
      </c>
      <c r="G2" s="2">
        <v>107380.7449389102</v>
      </c>
      <c r="H2" s="2">
        <v>213996.8584343667</v>
      </c>
      <c r="I2" s="3">
        <v>0.904049894900813</v>
      </c>
      <c r="J2" s="2">
        <v>21342.160590024188</v>
      </c>
      <c r="K2" s="3">
        <v>9.0161968636026824E-2</v>
      </c>
      <c r="L2" s="2">
        <v>1370.1047102512259</v>
      </c>
      <c r="M2" s="2"/>
    </row>
    <row r="3" spans="1:13" x14ac:dyDescent="0.3">
      <c r="A3" s="1">
        <v>44255</v>
      </c>
      <c r="B3" s="2">
        <v>118786.2749996137</v>
      </c>
      <c r="C3" s="2">
        <v>105401.81175784059</v>
      </c>
      <c r="D3" s="2">
        <v>224188.08675745429</v>
      </c>
      <c r="E3" s="2">
        <v>60885.101038420711</v>
      </c>
      <c r="F3" s="2">
        <v>44977.983572894329</v>
      </c>
      <c r="G3" s="2">
        <v>96108.681502706109</v>
      </c>
      <c r="H3" s="2">
        <v>201971.76611402119</v>
      </c>
      <c r="I3" s="3">
        <v>0.90090320603222507</v>
      </c>
      <c r="J3" s="2">
        <v>20685.970733066399</v>
      </c>
      <c r="K3" s="3">
        <v>9.2270606490550217E-2</v>
      </c>
      <c r="L3" s="2">
        <v>1530.3499103667441</v>
      </c>
    </row>
    <row r="4" spans="1:13" x14ac:dyDescent="0.3">
      <c r="A4" s="1">
        <v>44286</v>
      </c>
      <c r="B4" s="2">
        <v>128451.2496024787</v>
      </c>
      <c r="C4" s="2">
        <v>106967.3924687829</v>
      </c>
      <c r="D4" s="2">
        <v>235418.64207126171</v>
      </c>
      <c r="E4" s="2">
        <v>64670.271853398022</v>
      </c>
      <c r="F4" s="2">
        <v>45245.659311165648</v>
      </c>
      <c r="G4" s="2">
        <v>98775.574833621853</v>
      </c>
      <c r="H4" s="2">
        <v>208691.50599818549</v>
      </c>
      <c r="I4" s="3">
        <v>0.88646975516498894</v>
      </c>
      <c r="J4" s="2">
        <v>25645.668657193659</v>
      </c>
      <c r="K4" s="3">
        <v>0.1089364394916129</v>
      </c>
      <c r="L4" s="2">
        <v>1081.4674158825101</v>
      </c>
    </row>
    <row r="5" spans="1:13" x14ac:dyDescent="0.3">
      <c r="A5" s="1">
        <v>44316</v>
      </c>
      <c r="B5" s="2">
        <v>123967.5796481315</v>
      </c>
      <c r="C5" s="2">
        <v>99424.77704039347</v>
      </c>
      <c r="D5" s="2">
        <v>223392.356688525</v>
      </c>
      <c r="E5" s="2">
        <v>64254.20217743839</v>
      </c>
      <c r="F5" s="2">
        <v>45506.069849395397</v>
      </c>
      <c r="G5" s="2">
        <v>90182.458587109708</v>
      </c>
      <c r="H5" s="2">
        <v>199942.73061394351</v>
      </c>
      <c r="I5" s="3">
        <v>0.89502941630506538</v>
      </c>
      <c r="J5" s="2">
        <v>22583.51362465863</v>
      </c>
      <c r="K5" s="3">
        <v>0.1010934928993418</v>
      </c>
      <c r="L5" s="2">
        <v>866.11244992283252</v>
      </c>
    </row>
    <row r="6" spans="1:13" x14ac:dyDescent="0.3">
      <c r="A6" s="1">
        <v>44347</v>
      </c>
      <c r="B6" s="2">
        <v>124032.3877202742</v>
      </c>
      <c r="C6" s="2">
        <v>109774.5749285101</v>
      </c>
      <c r="D6" s="2">
        <v>233806.96264878431</v>
      </c>
      <c r="E6" s="2">
        <v>65681.385887291079</v>
      </c>
      <c r="F6" s="2">
        <v>54797.287690478799</v>
      </c>
      <c r="G6" s="2">
        <v>90131.330393441545</v>
      </c>
      <c r="H6" s="2">
        <v>210610.00397121141</v>
      </c>
      <c r="I6" s="3">
        <v>0.90078585164968561</v>
      </c>
      <c r="J6" s="2">
        <v>22256.45275169759</v>
      </c>
      <c r="K6" s="3">
        <v>9.5191573850306424E-2</v>
      </c>
      <c r="L6" s="2">
        <v>940.5059258753098</v>
      </c>
    </row>
    <row r="7" spans="1:13" x14ac:dyDescent="0.3">
      <c r="A7" s="1">
        <v>44377</v>
      </c>
      <c r="B7" s="2">
        <v>124301.58320154239</v>
      </c>
      <c r="C7" s="2">
        <v>110187.8290710763</v>
      </c>
      <c r="D7" s="2">
        <v>234489.41227261859</v>
      </c>
      <c r="E7" s="2">
        <v>64279.521615736412</v>
      </c>
      <c r="F7" s="2">
        <v>51279.009713169318</v>
      </c>
      <c r="G7" s="2">
        <v>97801.627200395757</v>
      </c>
      <c r="H7" s="2">
        <v>213360.15852930149</v>
      </c>
      <c r="I7" s="3">
        <v>0.90989250414960265</v>
      </c>
      <c r="J7" s="2">
        <v>20232.84350292445</v>
      </c>
      <c r="K7" s="3">
        <v>8.6284678300961606E-2</v>
      </c>
      <c r="L7" s="2">
        <v>896.41024039266324</v>
      </c>
    </row>
    <row r="8" spans="1:13" x14ac:dyDescent="0.3">
      <c r="A8" s="1">
        <v>44408</v>
      </c>
      <c r="B8" s="2">
        <v>129407.6551559042</v>
      </c>
      <c r="C8" s="2">
        <v>112318.9585603903</v>
      </c>
      <c r="D8" s="2">
        <v>241726.61371629461</v>
      </c>
      <c r="E8" s="2">
        <v>66748.510312535378</v>
      </c>
      <c r="F8" s="2">
        <v>51867.882966949357</v>
      </c>
      <c r="G8" s="2">
        <v>99020.841030131065</v>
      </c>
      <c r="H8" s="2">
        <v>217637.2343096158</v>
      </c>
      <c r="I8" s="3">
        <v>0.90034452956449573</v>
      </c>
      <c r="J8" s="2">
        <v>23026.959314142721</v>
      </c>
      <c r="K8" s="3">
        <v>9.5260339604842162E-2</v>
      </c>
      <c r="L8" s="2">
        <v>1062.4200925360401</v>
      </c>
    </row>
    <row r="9" spans="1:13" x14ac:dyDescent="0.3">
      <c r="A9" s="1">
        <v>44439</v>
      </c>
      <c r="B9" s="2">
        <v>126591.96202379531</v>
      </c>
      <c r="C9" s="2">
        <v>113378.26791521411</v>
      </c>
      <c r="D9" s="2">
        <v>239970.2299390093</v>
      </c>
      <c r="E9" s="2">
        <v>66784.04977928994</v>
      </c>
      <c r="F9" s="2">
        <v>51046.852570552343</v>
      </c>
      <c r="G9" s="2">
        <v>102298.731396353</v>
      </c>
      <c r="H9" s="2">
        <v>220129.63374619529</v>
      </c>
      <c r="I9" s="3">
        <v>0.91732059348421391</v>
      </c>
      <c r="J9" s="2">
        <v>18704.007504855839</v>
      </c>
      <c r="K9" s="3">
        <v>7.7943032807067922E-2</v>
      </c>
      <c r="L9" s="2">
        <v>1136.5886879582131</v>
      </c>
    </row>
    <row r="10" spans="1:13" x14ac:dyDescent="0.3">
      <c r="A10" s="1">
        <v>44469</v>
      </c>
      <c r="B10" s="2">
        <v>120265.65088229861</v>
      </c>
      <c r="C10" s="2">
        <v>101535.9805228105</v>
      </c>
      <c r="D10" s="2">
        <v>221801.63140510899</v>
      </c>
      <c r="E10" s="2">
        <v>65618.649171443612</v>
      </c>
      <c r="F10" s="2">
        <v>45204.540275017163</v>
      </c>
      <c r="G10" s="2">
        <v>92006.164550461166</v>
      </c>
      <c r="H10" s="2">
        <v>202829.353996922</v>
      </c>
      <c r="I10" s="3">
        <v>0.91446285905113489</v>
      </c>
      <c r="J10" s="2">
        <v>17924.585087340649</v>
      </c>
      <c r="K10" s="3">
        <v>8.0813585426711021E-2</v>
      </c>
      <c r="L10" s="2">
        <v>1047.692320846453</v>
      </c>
    </row>
    <row r="11" spans="1:13" x14ac:dyDescent="0.3">
      <c r="A11" s="1">
        <v>44500</v>
      </c>
      <c r="B11" s="2">
        <v>118540.77819568801</v>
      </c>
      <c r="C11" s="2">
        <v>90571.513254725534</v>
      </c>
      <c r="D11" s="2">
        <v>209112.29145041361</v>
      </c>
      <c r="E11" s="2">
        <v>61598.510975495366</v>
      </c>
      <c r="F11" s="2">
        <v>47496.759852924079</v>
      </c>
      <c r="G11" s="2">
        <v>80040.40275366079</v>
      </c>
      <c r="H11" s="2">
        <v>189135.67358208029</v>
      </c>
      <c r="I11" s="3">
        <v>0.90446942296038901</v>
      </c>
      <c r="J11" s="2">
        <v>18995.50623135189</v>
      </c>
      <c r="K11" s="3">
        <v>9.083878379218209E-2</v>
      </c>
      <c r="L11" s="2">
        <v>981.11163698147618</v>
      </c>
    </row>
    <row r="12" spans="1:13" x14ac:dyDescent="0.3">
      <c r="A12" s="1">
        <v>44530</v>
      </c>
      <c r="B12" s="2">
        <v>112387.5004628946</v>
      </c>
      <c r="C12" s="2">
        <v>103011.5981484737</v>
      </c>
      <c r="D12" s="2">
        <v>215399.0986113683</v>
      </c>
      <c r="E12" s="2">
        <v>60475.72530650616</v>
      </c>
      <c r="F12" s="2">
        <v>46740.597702001323</v>
      </c>
      <c r="G12" s="2">
        <v>86540.526357903538</v>
      </c>
      <c r="H12" s="2">
        <v>193756.84936641101</v>
      </c>
      <c r="I12" s="3">
        <v>0.89952488480926718</v>
      </c>
      <c r="J12" s="2">
        <v>20837.969289061431</v>
      </c>
      <c r="K12" s="3">
        <v>9.6741209333740683E-2</v>
      </c>
      <c r="L12" s="2">
        <v>804.27995589581758</v>
      </c>
    </row>
    <row r="13" spans="1:13" x14ac:dyDescent="0.3">
      <c r="A13" s="1">
        <v>44561</v>
      </c>
      <c r="B13" s="2">
        <v>115441.1561139901</v>
      </c>
      <c r="C13" s="2">
        <v>112857.1887542574</v>
      </c>
      <c r="D13" s="2">
        <v>228298.34486824751</v>
      </c>
      <c r="E13" s="2">
        <v>60996.020602690558</v>
      </c>
      <c r="F13" s="2">
        <v>47605.051403875463</v>
      </c>
      <c r="G13" s="2">
        <v>98357.931061898038</v>
      </c>
      <c r="H13" s="2">
        <v>206959.00306846411</v>
      </c>
      <c r="I13" s="3">
        <v>0.90652870561940124</v>
      </c>
      <c r="J13" s="2">
        <v>20343.72636176147</v>
      </c>
      <c r="K13" s="3">
        <v>8.9110266539610586E-2</v>
      </c>
      <c r="L13" s="2">
        <v>995.61543802195035</v>
      </c>
    </row>
    <row r="14" spans="1:13" x14ac:dyDescent="0.3">
      <c r="A14" s="1">
        <v>44592</v>
      </c>
      <c r="B14" s="2">
        <v>126884.0722897626</v>
      </c>
      <c r="C14" s="2">
        <v>115679.6664364849</v>
      </c>
      <c r="D14" s="2">
        <v>242563.7387262476</v>
      </c>
      <c r="E14" s="2">
        <v>68388.855191945564</v>
      </c>
      <c r="F14" s="2">
        <v>50397.52358494392</v>
      </c>
      <c r="G14" s="2">
        <v>103875.7164567882</v>
      </c>
      <c r="H14" s="2">
        <v>222662.09523367771</v>
      </c>
      <c r="I14" s="3">
        <v>0.91795293230110375</v>
      </c>
      <c r="J14" s="2">
        <v>18454.99723635213</v>
      </c>
      <c r="K14" s="3">
        <v>7.6083083701064078E-2</v>
      </c>
      <c r="L14" s="2">
        <v>1446.646256217628</v>
      </c>
    </row>
    <row r="15" spans="1:13" x14ac:dyDescent="0.3">
      <c r="A15" s="1">
        <v>44620</v>
      </c>
      <c r="B15" s="2">
        <v>109298.0432809926</v>
      </c>
      <c r="C15" s="2">
        <v>107661.262817885</v>
      </c>
      <c r="D15" s="2">
        <v>216959.30609887771</v>
      </c>
      <c r="E15" s="2">
        <v>58075.825396642671</v>
      </c>
      <c r="F15" s="2">
        <v>47517.92843384463</v>
      </c>
      <c r="G15" s="2">
        <v>91092.668505223366</v>
      </c>
      <c r="H15" s="2">
        <v>196686.4223357107</v>
      </c>
      <c r="I15" s="3">
        <v>0.90655904958541966</v>
      </c>
      <c r="J15" s="2">
        <v>19078.905597388621</v>
      </c>
      <c r="K15" s="3">
        <v>8.7937714866646671E-2</v>
      </c>
      <c r="L15" s="2">
        <v>1193.978165778376</v>
      </c>
    </row>
    <row r="16" spans="1:13" x14ac:dyDescent="0.3">
      <c r="A16" s="1">
        <v>44651</v>
      </c>
      <c r="B16" s="2">
        <v>117141.0389317256</v>
      </c>
      <c r="C16" s="2">
        <v>103908.0580795495</v>
      </c>
      <c r="D16" s="2">
        <v>221049.09701127521</v>
      </c>
      <c r="E16" s="2">
        <v>65161.537479551283</v>
      </c>
      <c r="F16" s="2">
        <v>48856.447529232537</v>
      </c>
      <c r="G16" s="2">
        <v>89639.255646192833</v>
      </c>
      <c r="H16" s="2">
        <v>203657.24065497669</v>
      </c>
      <c r="I16" s="3">
        <v>0.92132129652892736</v>
      </c>
      <c r="J16" s="2">
        <v>16717.016692914491</v>
      </c>
      <c r="K16" s="3">
        <v>7.5625808559904667E-2</v>
      </c>
      <c r="L16" s="2">
        <v>674.83966338395544</v>
      </c>
    </row>
    <row r="17" spans="1:12" x14ac:dyDescent="0.3">
      <c r="A17" s="1">
        <v>44681</v>
      </c>
      <c r="B17" s="2">
        <v>116577.0869520542</v>
      </c>
      <c r="C17" s="2">
        <v>99544.536526410564</v>
      </c>
      <c r="D17" s="2">
        <v>216121.62347846481</v>
      </c>
      <c r="E17" s="2">
        <v>64612.427792188617</v>
      </c>
      <c r="F17" s="2">
        <v>47060.234085604832</v>
      </c>
      <c r="G17" s="2">
        <v>87374.481273459925</v>
      </c>
      <c r="H17" s="2">
        <v>199047.1431512534</v>
      </c>
      <c r="I17" s="3">
        <v>0.92099596489976965</v>
      </c>
      <c r="J17" s="2">
        <v>16473.51604123387</v>
      </c>
      <c r="K17" s="3">
        <v>7.6223358755563644E-2</v>
      </c>
      <c r="L17" s="2">
        <v>600.96428597752799</v>
      </c>
    </row>
    <row r="18" spans="1:12" x14ac:dyDescent="0.3">
      <c r="A18" s="1">
        <v>44712</v>
      </c>
      <c r="B18" s="2">
        <v>107265.7462366804</v>
      </c>
      <c r="C18" s="2">
        <v>98215.264063028662</v>
      </c>
      <c r="D18" s="2">
        <v>205481.01029970901</v>
      </c>
      <c r="E18" s="2">
        <v>57086.625414672839</v>
      </c>
      <c r="F18" s="2">
        <v>48025.314860089267</v>
      </c>
      <c r="G18" s="2">
        <v>84014.031018852955</v>
      </c>
      <c r="H18" s="2">
        <v>189125.971293615</v>
      </c>
      <c r="I18" s="3">
        <v>0.9204060804342018</v>
      </c>
      <c r="J18" s="2">
        <v>15432.62184254501</v>
      </c>
      <c r="K18" s="3">
        <v>7.5104856745815129E-2</v>
      </c>
      <c r="L18" s="2">
        <v>922.41716354895789</v>
      </c>
    </row>
    <row r="19" spans="1:12" x14ac:dyDescent="0.3">
      <c r="A19" s="1">
        <v>44742</v>
      </c>
      <c r="B19" s="2">
        <v>118380.6687393591</v>
      </c>
      <c r="C19" s="2">
        <v>95979.104739741495</v>
      </c>
      <c r="D19" s="2">
        <v>214359.77347910061</v>
      </c>
      <c r="E19" s="2">
        <v>61697.998835020488</v>
      </c>
      <c r="F19" s="2">
        <v>47421.60814268938</v>
      </c>
      <c r="G19" s="2">
        <v>87927.079807188551</v>
      </c>
      <c r="H19" s="2">
        <v>197046.6867848984</v>
      </c>
      <c r="I19" s="3">
        <v>0.91923350909917734</v>
      </c>
      <c r="J19" s="2">
        <v>16056.030083574309</v>
      </c>
      <c r="K19" s="3">
        <v>7.4902253454469742E-2</v>
      </c>
      <c r="L19" s="2">
        <v>1257.0566106278591</v>
      </c>
    </row>
    <row r="20" spans="1:12" x14ac:dyDescent="0.3">
      <c r="A20" s="1">
        <v>44773</v>
      </c>
      <c r="B20" s="2">
        <v>126357.9096134312</v>
      </c>
      <c r="C20" s="2">
        <v>94371.959538249168</v>
      </c>
      <c r="D20" s="2">
        <v>220729.86915168041</v>
      </c>
      <c r="E20" s="2">
        <v>60142.403108664541</v>
      </c>
      <c r="F20" s="2">
        <v>47014.93203085594</v>
      </c>
      <c r="G20" s="2">
        <v>97211.683804616652</v>
      </c>
      <c r="H20" s="2">
        <v>204369.01894413709</v>
      </c>
      <c r="I20" s="3">
        <v>0.92587840390418374</v>
      </c>
      <c r="J20" s="2">
        <v>15376.479166943731</v>
      </c>
      <c r="K20" s="3">
        <v>6.9661977447997223E-2</v>
      </c>
      <c r="L20" s="2">
        <v>984.37104059947956</v>
      </c>
    </row>
    <row r="21" spans="1:12" x14ac:dyDescent="0.3">
      <c r="A21" s="1">
        <v>44804</v>
      </c>
      <c r="B21" s="2">
        <v>116550.4254864721</v>
      </c>
      <c r="C21" s="2">
        <v>76016.847661879699</v>
      </c>
      <c r="D21" s="2">
        <v>192567.27314835179</v>
      </c>
      <c r="E21" s="2">
        <v>62948.995961087479</v>
      </c>
      <c r="F21" s="2">
        <v>46756.992769784352</v>
      </c>
      <c r="G21" s="2">
        <v>67927.729605946472</v>
      </c>
      <c r="H21" s="2">
        <v>177633.7183368183</v>
      </c>
      <c r="I21" s="3">
        <v>0.92245019328892475</v>
      </c>
      <c r="J21" s="2">
        <v>14353.887908619379</v>
      </c>
      <c r="K21" s="3">
        <v>7.4539602051493431E-2</v>
      </c>
      <c r="L21" s="2">
        <v>579.66690291412999</v>
      </c>
    </row>
    <row r="22" spans="1:12" x14ac:dyDescent="0.3">
      <c r="A22" s="1">
        <v>44834</v>
      </c>
      <c r="B22" s="2">
        <v>120359.2193561601</v>
      </c>
      <c r="C22" s="2">
        <v>74937.484592754641</v>
      </c>
      <c r="D22" s="2">
        <v>195296.70394891471</v>
      </c>
      <c r="E22" s="2">
        <v>64021.805476736074</v>
      </c>
      <c r="F22" s="2">
        <v>45661.629336322119</v>
      </c>
      <c r="G22" s="2">
        <v>73239.072654001837</v>
      </c>
      <c r="H22" s="2">
        <v>182922.50746706</v>
      </c>
      <c r="I22" s="3">
        <v>0.93663898964167103</v>
      </c>
      <c r="J22" s="2">
        <v>11902.481613431801</v>
      </c>
      <c r="K22" s="3">
        <v>6.094563488662473E-2</v>
      </c>
      <c r="L22" s="2">
        <v>471.71486842287618</v>
      </c>
    </row>
    <row r="23" spans="1:12" x14ac:dyDescent="0.3">
      <c r="A23" s="1">
        <v>44865</v>
      </c>
      <c r="B23" s="2">
        <v>126517.0495438299</v>
      </c>
      <c r="C23" s="2">
        <v>74255.816538447965</v>
      </c>
      <c r="D23" s="2">
        <v>200772.86608227791</v>
      </c>
      <c r="E23" s="2">
        <v>70285.585745147138</v>
      </c>
      <c r="F23" s="2">
        <v>43413.537409898912</v>
      </c>
      <c r="G23" s="2">
        <v>73782.189756991967</v>
      </c>
      <c r="H23" s="2">
        <v>187481.312912038</v>
      </c>
      <c r="I23" s="3">
        <v>0.93379806031760837</v>
      </c>
      <c r="J23" s="2">
        <v>12815.86266194006</v>
      </c>
      <c r="K23" s="3">
        <v>6.3832642886554436E-2</v>
      </c>
      <c r="L23" s="2">
        <v>475.69050829976811</v>
      </c>
    </row>
    <row r="24" spans="1:12" x14ac:dyDescent="0.3">
      <c r="A24" s="1">
        <v>44895</v>
      </c>
      <c r="B24" s="2">
        <v>123752.4189439317</v>
      </c>
      <c r="C24" s="2">
        <v>76782.952624600308</v>
      </c>
      <c r="D24" s="2">
        <v>200535.37156853199</v>
      </c>
      <c r="E24" s="2">
        <v>64085.786389486093</v>
      </c>
      <c r="F24" s="2">
        <v>47480.555763912118</v>
      </c>
      <c r="G24" s="2">
        <v>72277.848682940195</v>
      </c>
      <c r="H24" s="2">
        <v>183844.19083633841</v>
      </c>
      <c r="I24" s="3">
        <v>0.91676689951682955</v>
      </c>
      <c r="J24" s="2">
        <v>16316.373656807091</v>
      </c>
      <c r="K24" s="3">
        <v>8.1364068239856882E-2</v>
      </c>
      <c r="L24" s="2">
        <v>374.80707538647982</v>
      </c>
    </row>
    <row r="25" spans="1:12" x14ac:dyDescent="0.3">
      <c r="A25" s="1">
        <v>44926</v>
      </c>
      <c r="B25" s="2">
        <v>120542.4440334117</v>
      </c>
      <c r="C25" s="2">
        <v>74262.843283167502</v>
      </c>
      <c r="D25" s="2">
        <v>194805.28731657931</v>
      </c>
      <c r="E25" s="2">
        <v>58283.595711564762</v>
      </c>
      <c r="F25" s="2">
        <v>49721.873103575192</v>
      </c>
      <c r="G25" s="2">
        <v>70889.624571530905</v>
      </c>
      <c r="H25" s="2">
        <v>178895.09338667089</v>
      </c>
      <c r="I25" s="3">
        <v>0.918327709945302</v>
      </c>
      <c r="J25" s="2">
        <v>15464.27124107137</v>
      </c>
      <c r="K25" s="3">
        <v>7.9383221339060908E-2</v>
      </c>
      <c r="L25" s="2">
        <v>445.92268883699802</v>
      </c>
    </row>
    <row r="26" spans="1:12" x14ac:dyDescent="0.3">
      <c r="A26" s="1">
        <v>44957</v>
      </c>
      <c r="B26" s="2">
        <v>136783.68578840391</v>
      </c>
      <c r="C26" s="2">
        <v>77222.559600640307</v>
      </c>
      <c r="D26" s="2">
        <v>214006.2453890442</v>
      </c>
      <c r="E26" s="2">
        <v>76482.520482894033</v>
      </c>
      <c r="F26" s="2">
        <v>55497.118672543264</v>
      </c>
      <c r="G26" s="2">
        <v>66494.183746213879</v>
      </c>
      <c r="H26" s="2">
        <v>198473.82290165109</v>
      </c>
      <c r="I26" s="3">
        <v>0.92742070466608817</v>
      </c>
      <c r="J26" s="2">
        <v>15005.84114316768</v>
      </c>
      <c r="K26" s="3">
        <v>7.0118706656847329E-2</v>
      </c>
      <c r="L26" s="2">
        <v>526.58134422536011</v>
      </c>
    </row>
    <row r="27" spans="1:12" x14ac:dyDescent="0.3">
      <c r="A27" s="1">
        <v>44985</v>
      </c>
      <c r="B27" s="2">
        <v>124217.6575003826</v>
      </c>
      <c r="C27" s="2">
        <v>78131.513503565497</v>
      </c>
      <c r="D27" s="2">
        <v>202349.17100394811</v>
      </c>
      <c r="E27" s="2">
        <v>67144.83342837161</v>
      </c>
      <c r="F27" s="2">
        <v>53019.656327589641</v>
      </c>
      <c r="G27" s="2">
        <v>65825.203529021834</v>
      </c>
      <c r="H27" s="2">
        <v>185989.69328498311</v>
      </c>
      <c r="I27" s="3">
        <v>0.91915223750214547</v>
      </c>
      <c r="J27" s="2">
        <v>15717.32791534938</v>
      </c>
      <c r="K27" s="3">
        <v>7.7674288643577963E-2</v>
      </c>
      <c r="L27" s="2">
        <v>656.34350692565795</v>
      </c>
    </row>
    <row r="28" spans="1:12" x14ac:dyDescent="0.3">
      <c r="A28" s="1">
        <v>45016</v>
      </c>
      <c r="B28" s="2">
        <v>137068.7667025002</v>
      </c>
      <c r="C28" s="2">
        <v>90513.74203260272</v>
      </c>
      <c r="D28" s="2">
        <v>227582.50873510301</v>
      </c>
      <c r="E28" s="2">
        <v>75813.9785858666</v>
      </c>
      <c r="F28" s="2">
        <v>53378.9423930497</v>
      </c>
      <c r="G28" s="2">
        <v>81376.164996809181</v>
      </c>
      <c r="H28" s="2">
        <v>210569.08597572549</v>
      </c>
      <c r="I28" s="3">
        <v>0.92524283674550556</v>
      </c>
      <c r="J28" s="2">
        <v>16306.168350006639</v>
      </c>
      <c r="K28" s="3">
        <v>7.1649479745327774E-2</v>
      </c>
      <c r="L28" s="2">
        <v>710.9934889768341</v>
      </c>
    </row>
    <row r="29" spans="1:12" x14ac:dyDescent="0.3">
      <c r="A29" s="1">
        <v>45046</v>
      </c>
      <c r="B29" s="2">
        <v>110258.0951242561</v>
      </c>
      <c r="C29" s="2">
        <v>81741.209075070219</v>
      </c>
      <c r="D29" s="2">
        <v>191999.30419932641</v>
      </c>
      <c r="E29" s="2">
        <v>54157.293341013581</v>
      </c>
      <c r="F29" s="2">
        <v>54708.222548190621</v>
      </c>
      <c r="G29" s="2">
        <v>68919.851671470446</v>
      </c>
      <c r="H29" s="2">
        <v>177785.36756067461</v>
      </c>
      <c r="I29" s="3">
        <v>0.92596881172082068</v>
      </c>
      <c r="J29" s="2">
        <v>13563.17190095045</v>
      </c>
      <c r="K29" s="3">
        <v>7.0641776320552074E-2</v>
      </c>
      <c r="L29" s="2">
        <v>657.46015255223381</v>
      </c>
    </row>
    <row r="30" spans="1:12" x14ac:dyDescent="0.3">
      <c r="A30" s="1">
        <v>45077</v>
      </c>
      <c r="B30" s="2">
        <v>128173.2210344484</v>
      </c>
      <c r="C30" s="2">
        <v>85154.867532283693</v>
      </c>
      <c r="D30" s="2">
        <v>213328.08856673201</v>
      </c>
      <c r="E30" s="2">
        <v>70114.493199211618</v>
      </c>
      <c r="F30" s="2">
        <v>53168.076420477541</v>
      </c>
      <c r="G30" s="2">
        <v>75124.844614551432</v>
      </c>
      <c r="H30" s="2">
        <v>198407.4142342406</v>
      </c>
      <c r="I30" s="3">
        <v>0.93005761954397259</v>
      </c>
      <c r="J30" s="2">
        <v>14266.177643668039</v>
      </c>
      <c r="K30" s="3">
        <v>6.6874351800163337E-2</v>
      </c>
      <c r="L30" s="2">
        <v>668.09668882347535</v>
      </c>
    </row>
    <row r="31" spans="1:12" x14ac:dyDescent="0.3">
      <c r="A31" s="1">
        <v>45107</v>
      </c>
      <c r="B31" s="2">
        <v>128086.00201436591</v>
      </c>
      <c r="C31" s="2">
        <v>72728.890670278357</v>
      </c>
      <c r="D31" s="2">
        <v>200814.89268464429</v>
      </c>
      <c r="E31" s="2">
        <v>68483.803784593605</v>
      </c>
      <c r="F31" s="2">
        <v>45959.632094955741</v>
      </c>
      <c r="G31" s="2">
        <v>71158.696437809762</v>
      </c>
      <c r="H31" s="2">
        <v>185602.13231735921</v>
      </c>
      <c r="I31" s="3">
        <v>0.92424485971179982</v>
      </c>
      <c r="J31" s="2">
        <v>14595.973149738769</v>
      </c>
      <c r="K31" s="3">
        <v>7.2683718595811478E-2</v>
      </c>
      <c r="L31" s="2">
        <v>636.58721754635405</v>
      </c>
    </row>
    <row r="32" spans="1:12" x14ac:dyDescent="0.3">
      <c r="A32" s="1">
        <v>45138</v>
      </c>
      <c r="B32" s="2">
        <v>128708.0383013859</v>
      </c>
      <c r="C32" s="2">
        <v>78855.672015603122</v>
      </c>
      <c r="D32" s="2">
        <v>207563.71031698899</v>
      </c>
      <c r="E32" s="2">
        <v>68257.680410582616</v>
      </c>
      <c r="F32" s="2">
        <v>53735.604753733198</v>
      </c>
      <c r="G32" s="2">
        <v>71167.659026360896</v>
      </c>
      <c r="H32" s="2">
        <v>193160.9441906767</v>
      </c>
      <c r="I32" s="3">
        <v>0.93061038413547048</v>
      </c>
      <c r="J32" s="2">
        <v>13826.85646547991</v>
      </c>
      <c r="K32" s="3">
        <v>6.6614999531294197E-2</v>
      </c>
      <c r="L32" s="2">
        <v>575.90966083238015</v>
      </c>
    </row>
    <row r="33" spans="1:12" x14ac:dyDescent="0.3">
      <c r="A33" s="1">
        <v>45169</v>
      </c>
      <c r="B33" s="2">
        <v>125969.26032648759</v>
      </c>
      <c r="C33" s="2">
        <v>75225.037935013941</v>
      </c>
      <c r="D33" s="2">
        <v>201194.29826150171</v>
      </c>
      <c r="E33" s="2">
        <v>68451.587570932446</v>
      </c>
      <c r="F33" s="2">
        <v>52212.845677602883</v>
      </c>
      <c r="G33" s="2">
        <v>64602.409219154033</v>
      </c>
      <c r="H33" s="2">
        <v>185266.8424676893</v>
      </c>
      <c r="I33" s="3">
        <v>0.92083545144450041</v>
      </c>
      <c r="J33" s="2">
        <v>15363.502298632129</v>
      </c>
      <c r="K33" s="3">
        <v>7.6361519344168821E-2</v>
      </c>
      <c r="L33" s="2">
        <v>563.95349518007401</v>
      </c>
    </row>
    <row r="34" spans="1:12" x14ac:dyDescent="0.3">
      <c r="A34" s="1">
        <v>45199</v>
      </c>
      <c r="B34" s="2">
        <v>128895.4008401129</v>
      </c>
      <c r="C34" s="2">
        <v>88829.864184604157</v>
      </c>
      <c r="D34" s="2">
        <v>217725.26502471711</v>
      </c>
      <c r="E34" s="2">
        <v>70399.882690638537</v>
      </c>
      <c r="F34" s="2">
        <v>56477.362529146107</v>
      </c>
      <c r="G34" s="2">
        <v>74894.271948510795</v>
      </c>
      <c r="H34" s="2">
        <v>201771.51716829551</v>
      </c>
      <c r="I34" s="3">
        <v>0.92672532581549283</v>
      </c>
      <c r="J34" s="2">
        <v>15577.032427335231</v>
      </c>
      <c r="K34" s="3">
        <v>7.1544441227649233E-2</v>
      </c>
      <c r="L34" s="2">
        <v>376.71542908641021</v>
      </c>
    </row>
    <row r="35" spans="1:12" x14ac:dyDescent="0.3">
      <c r="A35" s="1">
        <v>45230</v>
      </c>
      <c r="B35" s="2">
        <v>126701.0786316224</v>
      </c>
      <c r="C35" s="2">
        <v>92772.991238618692</v>
      </c>
      <c r="D35" s="2">
        <v>219474.06987024099</v>
      </c>
      <c r="E35" s="2">
        <v>69194.928196961584</v>
      </c>
      <c r="F35" s="2">
        <v>58777.244539745217</v>
      </c>
      <c r="G35" s="2">
        <v>75851.637144236141</v>
      </c>
      <c r="H35" s="2">
        <v>203823.80988094301</v>
      </c>
      <c r="I35" s="3">
        <v>0.92869198626265548</v>
      </c>
      <c r="J35" s="2">
        <v>15270.068788078839</v>
      </c>
      <c r="K35" s="3">
        <v>6.9575730732595945E-2</v>
      </c>
      <c r="L35" s="2">
        <v>380.19120121924169</v>
      </c>
    </row>
    <row r="36" spans="1:12" x14ac:dyDescent="0.3">
      <c r="A36" s="1">
        <v>45260</v>
      </c>
      <c r="B36" s="2">
        <v>114990.03851846509</v>
      </c>
      <c r="C36" s="2">
        <v>81444.164471036929</v>
      </c>
      <c r="D36" s="2">
        <v>196434.202989502</v>
      </c>
      <c r="E36" s="2">
        <v>59749.156718960767</v>
      </c>
      <c r="F36" s="2">
        <v>59926.182952283263</v>
      </c>
      <c r="G36" s="2">
        <v>60132.035308805578</v>
      </c>
      <c r="H36" s="2">
        <v>179807.37498004959</v>
      </c>
      <c r="I36" s="3">
        <v>0.91535675683556494</v>
      </c>
      <c r="J36" s="2">
        <v>16272.92166439522</v>
      </c>
      <c r="K36" s="3">
        <v>8.2841589788031425E-2</v>
      </c>
      <c r="L36" s="2">
        <v>413.50634505722297</v>
      </c>
    </row>
    <row r="37" spans="1:12" x14ac:dyDescent="0.3">
      <c r="A37" s="1">
        <v>45291</v>
      </c>
      <c r="B37" s="2">
        <v>116918.69956965061</v>
      </c>
      <c r="C37" s="2">
        <v>82091.03230619953</v>
      </c>
      <c r="D37" s="2">
        <v>199009.73187585009</v>
      </c>
      <c r="E37" s="2">
        <v>55741.665426259577</v>
      </c>
      <c r="F37" s="2">
        <v>53068.702648654493</v>
      </c>
      <c r="G37" s="2">
        <v>72207.603423811568</v>
      </c>
      <c r="H37" s="2">
        <v>181017.97149872559</v>
      </c>
      <c r="I37" s="3">
        <v>0.90959356506068567</v>
      </c>
      <c r="J37" s="2">
        <v>17760.889194779149</v>
      </c>
      <c r="K37" s="3">
        <v>8.9246334977522976E-2</v>
      </c>
      <c r="L37" s="2">
        <v>230.87118234531479</v>
      </c>
    </row>
    <row r="38" spans="1:12" x14ac:dyDescent="0.3">
      <c r="A38" s="1">
        <v>45322</v>
      </c>
      <c r="B38" s="2">
        <v>128281.7983066945</v>
      </c>
      <c r="C38" s="2">
        <v>92744.44866097506</v>
      </c>
      <c r="D38" s="2">
        <v>221026.24696766949</v>
      </c>
      <c r="E38" s="2">
        <v>64028.616400237232</v>
      </c>
      <c r="F38" s="2">
        <v>49310.733961901256</v>
      </c>
      <c r="G38" s="2">
        <v>89181.54930575144</v>
      </c>
      <c r="H38" s="2">
        <v>202520.8996678899</v>
      </c>
      <c r="I38" s="3">
        <v>0.91627534035590619</v>
      </c>
      <c r="J38" s="2">
        <v>18308.189879196871</v>
      </c>
      <c r="K38" s="3">
        <v>8.283265055789911E-2</v>
      </c>
      <c r="L38" s="2">
        <v>197.15742058268731</v>
      </c>
    </row>
    <row r="39" spans="1:12" x14ac:dyDescent="0.3">
      <c r="A39" s="1">
        <v>45350</v>
      </c>
      <c r="B39" s="2">
        <v>110679.81311464369</v>
      </c>
      <c r="C39" s="2">
        <v>81750.930645442058</v>
      </c>
      <c r="D39" s="2">
        <v>192430.74376008581</v>
      </c>
      <c r="E39" s="2">
        <v>58178.818430264088</v>
      </c>
      <c r="F39" s="2">
        <v>43810.092690356818</v>
      </c>
      <c r="G39" s="2">
        <v>74487.063021967653</v>
      </c>
      <c r="H39" s="2">
        <v>176475.97414258859</v>
      </c>
      <c r="I39" s="3">
        <v>0.91708825052721876</v>
      </c>
      <c r="J39" s="2">
        <v>15689.263863585669</v>
      </c>
      <c r="K39" s="3">
        <v>8.1532002407818757E-2</v>
      </c>
      <c r="L39" s="2">
        <v>265.50575391152779</v>
      </c>
    </row>
    <row r="40" spans="1:12" x14ac:dyDescent="0.3">
      <c r="A40" s="1">
        <v>45382</v>
      </c>
      <c r="B40" s="2">
        <v>112544.1382040178</v>
      </c>
      <c r="C40" s="2">
        <v>85809.486736154242</v>
      </c>
      <c r="D40" s="2">
        <v>198353.62494017201</v>
      </c>
      <c r="E40" s="2">
        <v>61533.752664486899</v>
      </c>
      <c r="F40" s="2">
        <v>53857.682972464812</v>
      </c>
      <c r="G40" s="2">
        <v>67675.847808524297</v>
      </c>
      <c r="H40" s="2">
        <v>183067.283445476</v>
      </c>
      <c r="I40" s="3">
        <v>0.92293389395174019</v>
      </c>
      <c r="J40" s="2">
        <v>15149.475528448171</v>
      </c>
      <c r="K40" s="3">
        <v>7.6376096141512917E-2</v>
      </c>
      <c r="L40" s="2">
        <v>136.8659662478658</v>
      </c>
    </row>
    <row r="41" spans="1:12" x14ac:dyDescent="0.3">
      <c r="A41" s="1">
        <v>45412</v>
      </c>
      <c r="B41" s="2">
        <v>109921.29324457049</v>
      </c>
      <c r="C41" s="2">
        <v>79872.962302305896</v>
      </c>
      <c r="D41" s="2">
        <v>189794.2555468764</v>
      </c>
      <c r="E41" s="2">
        <v>57235.181233929863</v>
      </c>
      <c r="F41" s="2">
        <v>52795.515080954232</v>
      </c>
      <c r="G41" s="2">
        <v>65120.995395592057</v>
      </c>
      <c r="H41" s="2">
        <v>175151.69171047621</v>
      </c>
      <c r="I41" s="3">
        <v>0.92285033182796317</v>
      </c>
      <c r="J41" s="2">
        <v>14379.467787800801</v>
      </c>
      <c r="K41" s="3">
        <v>7.5763451040009394E-2</v>
      </c>
      <c r="L41" s="2">
        <v>263.09604859947649</v>
      </c>
    </row>
    <row r="42" spans="1:12" x14ac:dyDescent="0.3">
      <c r="A42" s="1">
        <v>45443</v>
      </c>
      <c r="B42" s="2">
        <v>117632.6645109526</v>
      </c>
      <c r="C42" s="2">
        <v>83859.817851895918</v>
      </c>
      <c r="D42" s="2">
        <v>201492.48236284859</v>
      </c>
      <c r="E42" s="2">
        <v>60896.126750184267</v>
      </c>
      <c r="F42" s="2">
        <v>55496.720974368443</v>
      </c>
      <c r="G42" s="2">
        <v>70483.054811239417</v>
      </c>
      <c r="H42" s="2">
        <v>186875.90253579209</v>
      </c>
      <c r="I42" s="3">
        <v>0.92745843588975774</v>
      </c>
      <c r="J42" s="2">
        <v>14109.447388333339</v>
      </c>
      <c r="K42" s="3">
        <v>7.0024683913144661E-2</v>
      </c>
      <c r="L42" s="2">
        <v>507.13243872309607</v>
      </c>
    </row>
    <row r="43" spans="1:12" x14ac:dyDescent="0.3">
      <c r="A43" s="1">
        <v>45473</v>
      </c>
      <c r="B43" s="2">
        <v>114939.8050383583</v>
      </c>
      <c r="C43" s="2">
        <v>86963.656739497659</v>
      </c>
      <c r="D43" s="2">
        <v>201903.46177785599</v>
      </c>
      <c r="E43" s="2">
        <v>60335.687899184937</v>
      </c>
      <c r="F43" s="2">
        <v>52979.844489812269</v>
      </c>
      <c r="G43" s="2">
        <v>74076.240797664577</v>
      </c>
      <c r="H43" s="2">
        <v>187391.7731866618</v>
      </c>
      <c r="I43" s="3">
        <v>0.9281256078354877</v>
      </c>
      <c r="J43" s="2">
        <v>14281.549681137139</v>
      </c>
      <c r="K43" s="3">
        <v>7.0734545883370734E-2</v>
      </c>
      <c r="L43" s="2">
        <v>230.13891005710681</v>
      </c>
    </row>
    <row r="44" spans="1:12" x14ac:dyDescent="0.3">
      <c r="A44" s="1">
        <v>45504</v>
      </c>
      <c r="B44" s="2">
        <v>124233.6199316353</v>
      </c>
      <c r="C44" s="2">
        <v>99489.754913821947</v>
      </c>
      <c r="D44" s="2">
        <v>223723.37484545729</v>
      </c>
      <c r="E44" s="2">
        <v>68327.15909778513</v>
      </c>
      <c r="F44" s="2">
        <v>59590.718116911288</v>
      </c>
      <c r="G44" s="2">
        <v>80140.123267391798</v>
      </c>
      <c r="H44" s="2">
        <v>208058.00048208819</v>
      </c>
      <c r="I44" s="3">
        <v>0.92997882150584266</v>
      </c>
      <c r="J44" s="2">
        <v>15301.852798151751</v>
      </c>
      <c r="K44" s="3">
        <v>6.8396307756048755E-2</v>
      </c>
      <c r="L44" s="2">
        <v>363.52156521729381</v>
      </c>
    </row>
    <row r="45" spans="1:12" x14ac:dyDescent="0.3">
      <c r="A45" s="1">
        <v>45535</v>
      </c>
      <c r="B45" s="2">
        <v>117395.8877565736</v>
      </c>
      <c r="C45" s="2">
        <v>95192.751324099576</v>
      </c>
      <c r="D45" s="2">
        <v>212588.63908067319</v>
      </c>
      <c r="E45" s="2">
        <v>61189.032861273306</v>
      </c>
      <c r="F45" s="2">
        <v>53957.270333426823</v>
      </c>
      <c r="G45" s="2">
        <v>81328.253847051325</v>
      </c>
      <c r="H45" s="2">
        <v>196474.55704175151</v>
      </c>
      <c r="I45" s="3">
        <v>0.92420064351224906</v>
      </c>
      <c r="J45" s="2">
        <v>15843.46921888307</v>
      </c>
      <c r="K45" s="3">
        <v>7.4526415369124147E-2</v>
      </c>
      <c r="L45" s="2">
        <v>270.61282003869752</v>
      </c>
    </row>
    <row r="46" spans="1:12" x14ac:dyDescent="0.3">
      <c r="A46" s="1">
        <v>45565</v>
      </c>
      <c r="B46" s="2">
        <v>113511.10781314901</v>
      </c>
      <c r="C46" s="2">
        <v>90983.765134032132</v>
      </c>
      <c r="D46" s="2">
        <v>204494.87294718111</v>
      </c>
      <c r="E46" s="2">
        <v>57208.931128701057</v>
      </c>
      <c r="F46" s="2">
        <v>56867.209211170877</v>
      </c>
      <c r="G46" s="2">
        <v>75571.941454308195</v>
      </c>
      <c r="H46" s="2">
        <v>189648.08179418021</v>
      </c>
      <c r="I46" s="3">
        <v>0.92739773404081505</v>
      </c>
      <c r="J46" s="2">
        <v>14618.619490632849</v>
      </c>
      <c r="K46" s="3">
        <v>7.1486484135026146E-2</v>
      </c>
      <c r="L46" s="2">
        <v>228.17166236813679</v>
      </c>
    </row>
    <row r="47" spans="1:12" x14ac:dyDescent="0.3">
      <c r="A47" s="1">
        <v>45596</v>
      </c>
      <c r="B47" s="2">
        <v>134524.07497219919</v>
      </c>
      <c r="C47" s="2">
        <v>85870.077597888041</v>
      </c>
      <c r="D47" s="2">
        <v>220396.44726008741</v>
      </c>
      <c r="E47" s="2">
        <v>66728.963868276245</v>
      </c>
      <c r="F47" s="2">
        <v>64895.285836736759</v>
      </c>
      <c r="G47" s="2">
        <v>70698.824041359156</v>
      </c>
      <c r="H47" s="2">
        <v>202323.07374637219</v>
      </c>
      <c r="I47" s="3">
        <v>0.91799607598761745</v>
      </c>
      <c r="J47" s="2">
        <v>18073.373513715222</v>
      </c>
      <c r="K47" s="3">
        <v>8.2003924012382226E-2</v>
      </c>
      <c r="L47" s="2">
        <v>6.5483618527650833E-11</v>
      </c>
    </row>
    <row r="48" spans="1:12" x14ac:dyDescent="0.3">
      <c r="A48" s="1">
        <v>45626</v>
      </c>
      <c r="B48" s="2">
        <v>134000.23925634351</v>
      </c>
      <c r="C48" s="2">
        <v>92800.967105892647</v>
      </c>
      <c r="D48" s="2">
        <v>226747.04576223611</v>
      </c>
      <c r="E48" s="2">
        <v>65192.169447461551</v>
      </c>
      <c r="F48" s="2">
        <v>63097.235104370433</v>
      </c>
      <c r="G48" s="2">
        <v>80391.744949255721</v>
      </c>
      <c r="H48" s="2">
        <v>208681.1495010877</v>
      </c>
      <c r="I48" s="3">
        <v>0.92032577006497318</v>
      </c>
      <c r="J48" s="2">
        <v>18065.681791148501</v>
      </c>
      <c r="K48" s="3">
        <v>7.967328407926394E-2</v>
      </c>
      <c r="L48" s="2">
        <v>0.21446999994441279</v>
      </c>
    </row>
    <row r="49" spans="1:12" x14ac:dyDescent="0.3">
      <c r="A49" s="1">
        <v>45657</v>
      </c>
      <c r="B49" s="2">
        <v>123078.04236853099</v>
      </c>
      <c r="C49" s="2">
        <v>92246.403107745995</v>
      </c>
      <c r="D49" s="2">
        <v>215324.445476277</v>
      </c>
      <c r="E49" s="2">
        <v>53084.968018496402</v>
      </c>
      <c r="F49" s="2">
        <v>66986.504657435697</v>
      </c>
      <c r="G49" s="2">
        <v>76186.300804162805</v>
      </c>
      <c r="H49" s="2">
        <v>196257.77348009491</v>
      </c>
      <c r="I49" s="3">
        <v>0.91145142877758989</v>
      </c>
      <c r="J49" s="2">
        <v>19066.671996181602</v>
      </c>
      <c r="K49" s="3">
        <v>8.8548571222407918E-2</v>
      </c>
      <c r="L49" s="2">
        <v>4.6202330850064749E-10</v>
      </c>
    </row>
    <row r="50" spans="1:12" x14ac:dyDescent="0.3">
      <c r="A50" s="1">
        <v>45688</v>
      </c>
      <c r="B50" s="2">
        <v>128626.1161273429</v>
      </c>
      <c r="C50" s="2">
        <v>107689.0274640445</v>
      </c>
      <c r="D50" s="2">
        <v>236315.1435913874</v>
      </c>
      <c r="E50" s="2">
        <v>69649.564990531202</v>
      </c>
      <c r="F50" s="2">
        <v>64206.089960242753</v>
      </c>
      <c r="G50" s="2">
        <v>83476.38573775324</v>
      </c>
      <c r="H50" s="2">
        <v>217332.0406885272</v>
      </c>
      <c r="I50" s="3">
        <v>0.91967039177275978</v>
      </c>
      <c r="J50" s="2">
        <v>18718.64426604352</v>
      </c>
      <c r="K50" s="3">
        <v>7.9210515168718659E-2</v>
      </c>
      <c r="L50" s="2">
        <v>264.45863681666009</v>
      </c>
    </row>
    <row r="51" spans="1:12" x14ac:dyDescent="0.3">
      <c r="A51" s="1">
        <v>45716</v>
      </c>
      <c r="B51" s="2">
        <v>114046.4645204877</v>
      </c>
      <c r="C51" s="2">
        <v>85634.768938163746</v>
      </c>
      <c r="D51" s="2">
        <v>199681.23345865149</v>
      </c>
      <c r="E51" s="2">
        <v>66191.652372324403</v>
      </c>
      <c r="F51" s="2">
        <v>58473.652248621693</v>
      </c>
      <c r="G51" s="2">
        <v>58985.155241889232</v>
      </c>
      <c r="H51" s="2">
        <v>183650.4598628353</v>
      </c>
      <c r="I51" s="3">
        <v>0.91971817622442875</v>
      </c>
      <c r="J51" s="2">
        <v>15852.82585200595</v>
      </c>
      <c r="K51" s="3">
        <v>7.9390664698035504E-2</v>
      </c>
      <c r="L51" s="2">
        <v>177.94774381021489</v>
      </c>
    </row>
    <row r="52" spans="1:12" x14ac:dyDescent="0.3">
      <c r="A52" s="1">
        <v>45747</v>
      </c>
      <c r="B52" s="2">
        <v>127608.0545904475</v>
      </c>
      <c r="C52" s="2">
        <v>103669.5031775901</v>
      </c>
      <c r="D52" s="2">
        <v>231277.5577680376</v>
      </c>
      <c r="E52" s="2">
        <v>68896.165949544215</v>
      </c>
      <c r="F52" s="2">
        <v>64303.748951515663</v>
      </c>
      <c r="G52" s="2">
        <v>81524.330504603466</v>
      </c>
      <c r="H52" s="2">
        <v>214724.2454056633</v>
      </c>
      <c r="I52" s="3">
        <v>0.92842663800965675</v>
      </c>
      <c r="J52" s="2">
        <v>16377.648145662801</v>
      </c>
      <c r="K52" s="3">
        <v>7.0813823458344138E-2</v>
      </c>
      <c r="L52" s="2">
        <v>175.66421671146961</v>
      </c>
    </row>
    <row r="53" spans="1:12" x14ac:dyDescent="0.3">
      <c r="A53" s="1">
        <v>45777</v>
      </c>
      <c r="B53" s="2">
        <v>115833.9222148871</v>
      </c>
      <c r="C53" s="2">
        <v>112475.2359723241</v>
      </c>
      <c r="D53" s="2">
        <v>228309.15818721149</v>
      </c>
      <c r="E53" s="2">
        <v>64356.066550235228</v>
      </c>
      <c r="F53" s="2">
        <v>64097.817870443701</v>
      </c>
      <c r="G53" s="2">
        <v>83370.236095185159</v>
      </c>
      <c r="H53" s="2">
        <v>211824.12051586411</v>
      </c>
      <c r="I53" s="3">
        <v>0.92779510991920089</v>
      </c>
      <c r="J53" s="2">
        <v>16485.037671347211</v>
      </c>
      <c r="K53" s="3">
        <v>7.2204890080798348E-2</v>
      </c>
      <c r="L53" s="2">
        <v>1.746229827404022E-10</v>
      </c>
    </row>
    <row r="54" spans="1:12" x14ac:dyDescent="0.3">
      <c r="A54" s="1">
        <v>45808</v>
      </c>
      <c r="B54" s="2">
        <v>122287.18071840319</v>
      </c>
      <c r="C54" s="2">
        <v>117838.4922581611</v>
      </c>
      <c r="D54" s="2">
        <v>240125.6729765643</v>
      </c>
      <c r="E54" s="2">
        <v>69753.665494022425</v>
      </c>
      <c r="F54" s="2">
        <v>57297.86678238427</v>
      </c>
      <c r="G54" s="2">
        <v>85634.522742209941</v>
      </c>
      <c r="H54" s="2">
        <v>212686.05501861661</v>
      </c>
      <c r="I54" s="3">
        <v>0.88572809555175847</v>
      </c>
      <c r="J54" s="2">
        <v>16819.185088967199</v>
      </c>
      <c r="K54" s="3">
        <v>7.0043260599664023E-2</v>
      </c>
      <c r="L54" s="2">
        <v>10620.432868980461</v>
      </c>
    </row>
    <row r="55" spans="1:12" x14ac:dyDescent="0.3">
      <c r="A55" s="1">
        <v>45838</v>
      </c>
      <c r="B55" s="2">
        <v>121214.79100358811</v>
      </c>
      <c r="C55" s="2">
        <v>116012.89919651909</v>
      </c>
      <c r="D55" s="2">
        <v>236962.3693601072</v>
      </c>
      <c r="E55" s="2">
        <v>69429.483329694835</v>
      </c>
      <c r="F55" s="2">
        <v>62282.774531623523</v>
      </c>
      <c r="G55" s="2">
        <v>88076.142779325906</v>
      </c>
      <c r="H55" s="2">
        <v>219788.40064064419</v>
      </c>
      <c r="I55" s="3">
        <v>0.92752448937002319</v>
      </c>
      <c r="J55" s="2">
        <v>17164.085919462941</v>
      </c>
      <c r="K55" s="3">
        <v>7.243380442984601E-2</v>
      </c>
      <c r="L55" s="2">
        <v>9.8828000000103202</v>
      </c>
    </row>
  </sheetData>
  <sheetProtection algorithmName="SHA-512" hashValue="M6piOUrLSYjWopQRd5r4jvK0n4mKBUx5wSxjqgInbTR2fDFENG4s86DHTW8YaUhrEdOmS25YniE5fNmXCpB5hA==" saltValue="ApTYpYIQyEyNZFYKmmUImg==" spinCount="100000" sheet="1" insertColumns="0" insertRows="0" deleteColumns="0" deleteRows="0"/>
  <conditionalFormatting sqref="A1:L55">
    <cfRule type="duplicateValues" dxfId="47" priority="1"/>
  </conditionalFormatting>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89CA98-4662-45CD-85FD-5400EBD187A0}">
  <dimension ref="A2:AW44"/>
  <sheetViews>
    <sheetView zoomScale="95" workbookViewId="0">
      <selection activeCell="A5" sqref="A5"/>
    </sheetView>
  </sheetViews>
  <sheetFormatPr defaultRowHeight="14.4" x14ac:dyDescent="0.3"/>
  <cols>
    <col min="1" max="1" width="12.77734375" bestFit="1" customWidth="1"/>
    <col min="2" max="2" width="25.21875" bestFit="1" customWidth="1"/>
    <col min="3" max="3" width="17.88671875" bestFit="1" customWidth="1"/>
    <col min="4" max="4" width="12.5546875" bestFit="1" customWidth="1"/>
    <col min="5" max="5" width="25.21875" bestFit="1" customWidth="1"/>
    <col min="12" max="12" width="12.77734375" bestFit="1" customWidth="1"/>
    <col min="13" max="13" width="13.5546875" bestFit="1" customWidth="1"/>
    <col min="14" max="14" width="17.88671875" bestFit="1" customWidth="1"/>
    <col min="17" max="17" width="12.77734375" bestFit="1" customWidth="1"/>
    <col min="18" max="18" width="12.44140625" bestFit="1" customWidth="1"/>
    <col min="19" max="19" width="10.5546875" bestFit="1" customWidth="1"/>
    <col min="20" max="20" width="12.77734375" bestFit="1" customWidth="1"/>
    <col min="23" max="23" width="12.77734375" bestFit="1" customWidth="1"/>
    <col min="24" max="25" width="20.88671875" bestFit="1" customWidth="1"/>
    <col min="26" max="26" width="10.5546875" bestFit="1" customWidth="1"/>
    <col min="27" max="27" width="12.77734375" bestFit="1" customWidth="1"/>
    <col min="28" max="28" width="22.109375" bestFit="1" customWidth="1"/>
    <col min="33" max="33" width="12.77734375" bestFit="1" customWidth="1"/>
    <col min="34" max="34" width="16.88671875" bestFit="1" customWidth="1"/>
    <col min="35" max="35" width="17.21875" bestFit="1" customWidth="1"/>
    <col min="39" max="39" width="12.77734375" bestFit="1" customWidth="1"/>
    <col min="40" max="40" width="25.21875" bestFit="1" customWidth="1"/>
    <col min="41" max="41" width="17.88671875" bestFit="1" customWidth="1"/>
    <col min="42" max="42" width="12.77734375" bestFit="1" customWidth="1"/>
    <col min="43" max="43" width="22.109375" bestFit="1" customWidth="1"/>
    <col min="45" max="45" width="12.77734375" bestFit="1" customWidth="1"/>
    <col min="46" max="46" width="20.88671875" bestFit="1" customWidth="1"/>
    <col min="48" max="48" width="12.77734375" bestFit="1" customWidth="1"/>
    <col min="49" max="49" width="19.44140625" bestFit="1" customWidth="1"/>
  </cols>
  <sheetData>
    <row r="2" spans="1:49" x14ac:dyDescent="0.3">
      <c r="AG2" s="4" t="s">
        <v>12</v>
      </c>
      <c r="AH2" t="s">
        <v>27</v>
      </c>
      <c r="AI2" t="s">
        <v>26</v>
      </c>
      <c r="AM2" s="4" t="s">
        <v>12</v>
      </c>
      <c r="AN2" t="s">
        <v>19</v>
      </c>
      <c r="AP2" s="4" t="s">
        <v>12</v>
      </c>
      <c r="AQ2" t="s">
        <v>24</v>
      </c>
      <c r="AS2" s="4" t="s">
        <v>12</v>
      </c>
      <c r="AT2" t="s">
        <v>25</v>
      </c>
      <c r="AV2" s="4" t="s">
        <v>12</v>
      </c>
      <c r="AW2" t="s">
        <v>30</v>
      </c>
    </row>
    <row r="3" spans="1:49" x14ac:dyDescent="0.3">
      <c r="A3" s="4" t="s">
        <v>12</v>
      </c>
      <c r="B3" t="s">
        <v>19</v>
      </c>
      <c r="L3" s="4" t="s">
        <v>12</v>
      </c>
      <c r="M3" t="s">
        <v>20</v>
      </c>
      <c r="N3" t="s">
        <v>21</v>
      </c>
      <c r="Q3" s="4" t="s">
        <v>12</v>
      </c>
      <c r="R3" t="s">
        <v>29</v>
      </c>
      <c r="S3" t="s">
        <v>22</v>
      </c>
      <c r="T3" t="s">
        <v>23</v>
      </c>
      <c r="W3" s="4" t="s">
        <v>12</v>
      </c>
      <c r="X3" t="s">
        <v>25</v>
      </c>
      <c r="AA3" s="4" t="s">
        <v>12</v>
      </c>
      <c r="AB3" t="s">
        <v>24</v>
      </c>
      <c r="AG3" s="5" t="s">
        <v>14</v>
      </c>
      <c r="AH3" s="2">
        <v>1138645.0146065929</v>
      </c>
      <c r="AI3" s="2">
        <v>580892.50733069214</v>
      </c>
      <c r="AM3" s="5" t="s">
        <v>14</v>
      </c>
      <c r="AN3" s="11">
        <v>2744312.7941637281</v>
      </c>
      <c r="AP3" s="5" t="s">
        <v>14</v>
      </c>
      <c r="AQ3" s="11">
        <v>2479020.7717307182</v>
      </c>
      <c r="AS3" s="5" t="s">
        <v>14</v>
      </c>
      <c r="AT3" s="11">
        <v>252579.36364807896</v>
      </c>
      <c r="AV3" s="5" t="s">
        <v>14</v>
      </c>
      <c r="AW3" s="11">
        <v>12712.658784931236</v>
      </c>
    </row>
    <row r="4" spans="1:49" x14ac:dyDescent="0.3">
      <c r="A4" s="5" t="s">
        <v>14</v>
      </c>
      <c r="B4" s="11">
        <v>2744312.7941637281</v>
      </c>
      <c r="L4" s="5" t="s">
        <v>14</v>
      </c>
      <c r="M4" s="11">
        <v>1459589.1294893441</v>
      </c>
      <c r="N4" s="11">
        <v>1284723.6646743845</v>
      </c>
      <c r="Q4" s="5" t="s">
        <v>14</v>
      </c>
      <c r="R4" s="11">
        <v>1138645.0146065929</v>
      </c>
      <c r="S4" s="11">
        <v>759483.249793433</v>
      </c>
      <c r="T4" s="11">
        <v>580892.50733069214</v>
      </c>
      <c r="W4" s="5" t="s">
        <v>14</v>
      </c>
      <c r="X4" s="2">
        <v>252579.36364807896</v>
      </c>
      <c r="AA4" s="5" t="s">
        <v>14</v>
      </c>
      <c r="AB4" s="2">
        <v>2479020.7717307182</v>
      </c>
      <c r="AG4" s="5" t="s">
        <v>15</v>
      </c>
      <c r="AH4" s="2">
        <v>999251.38178373384</v>
      </c>
      <c r="AI4" s="2">
        <v>569328.57705075317</v>
      </c>
      <c r="AM4" s="5" t="s">
        <v>15</v>
      </c>
      <c r="AN4" s="11">
        <v>2521241.9203100116</v>
      </c>
      <c r="AP4" s="5" t="s">
        <v>15</v>
      </c>
      <c r="AQ4" s="11">
        <v>2323371.4013371947</v>
      </c>
      <c r="AS4" s="5" t="s">
        <v>15</v>
      </c>
      <c r="AT4" s="11">
        <v>188442.44374282187</v>
      </c>
      <c r="AV4" s="5" t="s">
        <v>15</v>
      </c>
      <c r="AW4" s="11">
        <v>9428.0752299940359</v>
      </c>
    </row>
    <row r="5" spans="1:49" x14ac:dyDescent="0.3">
      <c r="A5" s="5" t="s">
        <v>15</v>
      </c>
      <c r="B5" s="11">
        <v>2521241.9203100116</v>
      </c>
      <c r="L5" s="5" t="s">
        <v>15</v>
      </c>
      <c r="M5" s="11">
        <v>1429626.1234078114</v>
      </c>
      <c r="N5" s="11">
        <v>1091615.7969021995</v>
      </c>
      <c r="Q5" s="5" t="s">
        <v>15</v>
      </c>
      <c r="R5" s="11">
        <v>999251.38178373384</v>
      </c>
      <c r="S5" s="11">
        <v>754791.44250270748</v>
      </c>
      <c r="T5" s="11">
        <v>569328.57705075317</v>
      </c>
      <c r="W5" s="5" t="s">
        <v>15</v>
      </c>
      <c r="X5" s="2">
        <v>188442.44374282187</v>
      </c>
      <c r="AA5" s="5" t="s">
        <v>15</v>
      </c>
      <c r="AB5" s="2">
        <v>2323371.4013371947</v>
      </c>
      <c r="AG5" s="5" t="s">
        <v>16</v>
      </c>
      <c r="AH5" s="2">
        <v>847754.56106675544</v>
      </c>
      <c r="AI5" s="2">
        <v>649929.59155797178</v>
      </c>
      <c r="AM5" s="5" t="s">
        <v>16</v>
      </c>
      <c r="AN5" s="11">
        <v>2491481.488917599</v>
      </c>
      <c r="AP5" s="5" t="s">
        <v>16</v>
      </c>
      <c r="AQ5" s="11">
        <v>2301675.9764610142</v>
      </c>
      <c r="AS5" s="5" t="s">
        <v>16</v>
      </c>
      <c r="AT5" s="11">
        <v>183525.93094158146</v>
      </c>
      <c r="AV5" s="5" t="s">
        <v>16</v>
      </c>
      <c r="AW5" s="11">
        <v>6397.2097127705601</v>
      </c>
    </row>
    <row r="6" spans="1:49" x14ac:dyDescent="0.3">
      <c r="A6" s="5" t="s">
        <v>16</v>
      </c>
      <c r="B6" s="11">
        <v>2491481.488917599</v>
      </c>
      <c r="L6" s="5" t="s">
        <v>16</v>
      </c>
      <c r="M6" s="11">
        <v>1506769.9443520817</v>
      </c>
      <c r="N6" s="11">
        <v>984711.54456551711</v>
      </c>
      <c r="Q6" s="5" t="s">
        <v>16</v>
      </c>
      <c r="R6" s="11">
        <v>847754.56106675544</v>
      </c>
      <c r="S6" s="11">
        <v>803991.82383628655</v>
      </c>
      <c r="T6" s="11">
        <v>649929.59155797178</v>
      </c>
      <c r="W6" s="5" t="s">
        <v>16</v>
      </c>
      <c r="X6" s="2">
        <v>183525.93094158146</v>
      </c>
      <c r="AA6" s="5" t="s">
        <v>16</v>
      </c>
      <c r="AB6" s="2">
        <v>2301675.9764610142</v>
      </c>
      <c r="AG6" s="5" t="s">
        <v>17</v>
      </c>
      <c r="AH6" s="2">
        <v>905341.93950426835</v>
      </c>
      <c r="AI6" s="2">
        <v>673644.81342990976</v>
      </c>
      <c r="AM6" s="5" t="s">
        <v>17</v>
      </c>
      <c r="AN6" s="11">
        <v>2508275.6407274203</v>
      </c>
      <c r="AP6" s="5" t="s">
        <v>17</v>
      </c>
      <c r="AQ6" s="11">
        <v>2312926.1607344593</v>
      </c>
      <c r="AS6" s="5" t="s">
        <v>17</v>
      </c>
      <c r="AT6" s="11">
        <v>192887.062937215</v>
      </c>
      <c r="AV6" s="5" t="s">
        <v>17</v>
      </c>
      <c r="AW6" s="11">
        <v>2462.4170557463603</v>
      </c>
    </row>
    <row r="7" spans="1:49" x14ac:dyDescent="0.3">
      <c r="A7" s="5" t="s">
        <v>17</v>
      </c>
      <c r="B7" s="11">
        <v>2508275.6407274203</v>
      </c>
      <c r="L7" s="5" t="s">
        <v>17</v>
      </c>
      <c r="M7" s="11">
        <v>1440742.4845176693</v>
      </c>
      <c r="N7" s="11">
        <v>1067585.0221197512</v>
      </c>
      <c r="Q7" s="5" t="s">
        <v>17</v>
      </c>
      <c r="R7" s="11">
        <v>905341.93950426835</v>
      </c>
      <c r="S7" s="11">
        <v>733939.40780028095</v>
      </c>
      <c r="T7" s="11">
        <v>673644.81342990976</v>
      </c>
      <c r="W7" s="5" t="s">
        <v>17</v>
      </c>
      <c r="X7" s="2">
        <v>192887.062937215</v>
      </c>
      <c r="AA7" s="5" t="s">
        <v>17</v>
      </c>
      <c r="AB7" s="2">
        <v>2312926.1607344593</v>
      </c>
      <c r="AG7" s="5" t="s">
        <v>18</v>
      </c>
      <c r="AH7" s="2">
        <v>481066.77310096694</v>
      </c>
      <c r="AI7" s="2">
        <v>370661.95034483162</v>
      </c>
      <c r="AM7" s="5" t="s">
        <v>18</v>
      </c>
      <c r="AN7" s="11">
        <v>1372671.1353419595</v>
      </c>
      <c r="AP7" s="5" t="s">
        <v>18</v>
      </c>
      <c r="AQ7" s="11">
        <v>1260005.3221321506</v>
      </c>
      <c r="AS7" s="5" t="s">
        <v>18</v>
      </c>
      <c r="AT7" s="11">
        <v>101417.42694348963</v>
      </c>
      <c r="AV7" s="5" t="s">
        <v>18</v>
      </c>
      <c r="AW7" s="11">
        <v>11248.38626631899</v>
      </c>
    </row>
    <row r="8" spans="1:49" x14ac:dyDescent="0.3">
      <c r="A8" s="5" t="s">
        <v>18</v>
      </c>
      <c r="B8" s="11">
        <v>1372671.1353419595</v>
      </c>
      <c r="L8" s="5" t="s">
        <v>18</v>
      </c>
      <c r="M8" s="11">
        <v>729616.52917515649</v>
      </c>
      <c r="N8" s="11">
        <v>643319.92700680264</v>
      </c>
      <c r="Q8" s="5" t="s">
        <v>18</v>
      </c>
      <c r="R8" s="11">
        <v>481066.77310096694</v>
      </c>
      <c r="S8" s="11">
        <v>408276.59868635231</v>
      </c>
      <c r="T8" s="11">
        <v>370661.95034483162</v>
      </c>
      <c r="W8" s="5" t="s">
        <v>18</v>
      </c>
      <c r="X8" s="2">
        <v>101417.42694348963</v>
      </c>
      <c r="AA8" s="5" t="s">
        <v>18</v>
      </c>
      <c r="AB8" s="2">
        <v>1260005.3221321506</v>
      </c>
      <c r="AG8" s="5" t="s">
        <v>13</v>
      </c>
      <c r="AH8" s="2">
        <v>4372059.6700623175</v>
      </c>
      <c r="AI8" s="2">
        <v>2844457.4397141584</v>
      </c>
      <c r="AM8" s="5" t="s">
        <v>13</v>
      </c>
      <c r="AN8" s="11">
        <v>11637982.979460718</v>
      </c>
      <c r="AP8" s="5" t="s">
        <v>13</v>
      </c>
      <c r="AQ8" s="11">
        <v>10676999.632395536</v>
      </c>
      <c r="AS8" s="5" t="s">
        <v>13</v>
      </c>
      <c r="AT8" s="11">
        <v>918852.22821318684</v>
      </c>
      <c r="AV8" s="5" t="s">
        <v>13</v>
      </c>
      <c r="AW8" s="11">
        <v>42248.747049761179</v>
      </c>
    </row>
    <row r="9" spans="1:49" x14ac:dyDescent="0.3">
      <c r="A9" s="5" t="s">
        <v>13</v>
      </c>
      <c r="B9" s="11">
        <v>11637982.979460718</v>
      </c>
      <c r="L9" s="5" t="s">
        <v>13</v>
      </c>
      <c r="M9" s="11">
        <v>6566344.2109420635</v>
      </c>
      <c r="N9" s="11">
        <v>5071955.955268654</v>
      </c>
      <c r="Q9" s="5" t="s">
        <v>13</v>
      </c>
      <c r="R9" s="11">
        <v>4372059.6700623175</v>
      </c>
      <c r="S9" s="11">
        <v>3460482.5226190602</v>
      </c>
      <c r="T9" s="11">
        <v>2844457.4397141584</v>
      </c>
      <c r="W9" s="5" t="s">
        <v>13</v>
      </c>
      <c r="X9" s="2">
        <v>918852.22821318684</v>
      </c>
      <c r="AA9" s="5" t="s">
        <v>13</v>
      </c>
      <c r="AB9" s="2">
        <v>10676999.632395536</v>
      </c>
      <c r="AQ9" s="13">
        <f>GETPIVOTDATA("Total Gas Utilized",$AP$2)</f>
        <v>10676999.632395536</v>
      </c>
      <c r="AT9" s="13">
        <f>GETPIVOTDATA("Total Gas Flared",$AS$2)</f>
        <v>918852.22821318684</v>
      </c>
      <c r="AW9" s="13">
        <f>GETPIVOTDATA("Gas Shrinkage",$AV$2)</f>
        <v>42248.747049761179</v>
      </c>
    </row>
    <row r="11" spans="1:49" x14ac:dyDescent="0.3">
      <c r="AM11" s="13">
        <f>GETPIVOTDATA("Total Gas Production",$AM$2)</f>
        <v>11637982.979460718</v>
      </c>
    </row>
    <row r="14" spans="1:49" x14ac:dyDescent="0.3">
      <c r="AU14" s="14"/>
    </row>
    <row r="39" spans="4:4" x14ac:dyDescent="0.3">
      <c r="D39" s="6"/>
    </row>
    <row r="40" spans="4:4" x14ac:dyDescent="0.3">
      <c r="D40" s="7"/>
    </row>
    <row r="41" spans="4:4" x14ac:dyDescent="0.3">
      <c r="D41" s="7"/>
    </row>
    <row r="42" spans="4:4" x14ac:dyDescent="0.3">
      <c r="D42" s="7"/>
    </row>
    <row r="43" spans="4:4" x14ac:dyDescent="0.3">
      <c r="D43" s="7"/>
    </row>
    <row r="44" spans="4:4" x14ac:dyDescent="0.3">
      <c r="D44" s="7"/>
    </row>
  </sheetData>
  <sortState xmlns:xlrd2="http://schemas.microsoft.com/office/spreadsheetml/2017/richdata2" columnSort="1" ref="AG2:AI8">
    <sortCondition descending="1" ref="AH8"/>
  </sortState>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AD5FE4-D20D-4329-8C9B-8E21DF940457}">
  <dimension ref="A1:AF7"/>
  <sheetViews>
    <sheetView showGridLines="0" tabSelected="1" zoomScale="52" zoomScaleNormal="42" workbookViewId="0">
      <selection activeCell="C34" sqref="C34"/>
    </sheetView>
  </sheetViews>
  <sheetFormatPr defaultRowHeight="14.4" x14ac:dyDescent="0.3"/>
  <sheetData>
    <row r="1" spans="1:32" ht="14.4" customHeight="1" x14ac:dyDescent="0.3">
      <c r="A1" s="12" t="s">
        <v>28</v>
      </c>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row>
    <row r="2" spans="1:32" ht="14.4" customHeight="1" x14ac:dyDescent="0.3">
      <c r="A2" s="12"/>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row>
    <row r="3" spans="1:32" ht="14.4" customHeight="1" x14ac:dyDescent="0.3">
      <c r="A3" s="12"/>
      <c r="B3" s="12"/>
      <c r="C3" s="12"/>
      <c r="D3" s="12"/>
      <c r="E3" s="12"/>
      <c r="F3" s="12"/>
      <c r="G3" s="12"/>
      <c r="H3" s="12"/>
      <c r="I3" s="12"/>
      <c r="J3" s="12"/>
      <c r="K3" s="12"/>
      <c r="L3" s="12"/>
      <c r="M3" s="12"/>
      <c r="N3" s="12"/>
      <c r="O3" s="12"/>
      <c r="P3" s="12"/>
      <c r="Q3" s="12"/>
      <c r="R3" s="12"/>
      <c r="S3" s="12"/>
      <c r="T3" s="12"/>
      <c r="U3" s="12"/>
      <c r="V3" s="12"/>
      <c r="W3" s="12"/>
      <c r="X3" s="12"/>
      <c r="Y3" s="12"/>
      <c r="Z3" s="12"/>
      <c r="AA3" s="12"/>
      <c r="AB3" s="12"/>
      <c r="AC3" s="12"/>
      <c r="AD3" s="12"/>
      <c r="AE3" s="12"/>
      <c r="AF3" s="12"/>
    </row>
    <row r="4" spans="1:32" ht="14.4" customHeight="1" x14ac:dyDescent="0.3">
      <c r="A4" s="12"/>
      <c r="B4" s="12"/>
      <c r="C4" s="12"/>
      <c r="D4" s="12"/>
      <c r="E4" s="12"/>
      <c r="F4" s="12"/>
      <c r="G4" s="12"/>
      <c r="H4" s="12"/>
      <c r="I4" s="12"/>
      <c r="J4" s="12"/>
      <c r="K4" s="12"/>
      <c r="L4" s="12"/>
      <c r="M4" s="12"/>
      <c r="N4" s="12"/>
      <c r="O4" s="12"/>
      <c r="P4" s="12"/>
      <c r="Q4" s="12"/>
      <c r="R4" s="12"/>
      <c r="S4" s="12"/>
      <c r="T4" s="12"/>
      <c r="U4" s="12"/>
      <c r="V4" s="12"/>
      <c r="W4" s="12"/>
      <c r="X4" s="12"/>
      <c r="Y4" s="12"/>
      <c r="Z4" s="12"/>
      <c r="AA4" s="12"/>
      <c r="AB4" s="12"/>
      <c r="AC4" s="12"/>
      <c r="AD4" s="12"/>
      <c r="AE4" s="12"/>
      <c r="AF4" s="12"/>
    </row>
    <row r="5" spans="1:32" ht="14.4" customHeight="1" x14ac:dyDescent="0.3">
      <c r="A5" s="12"/>
      <c r="B5" s="12"/>
      <c r="C5" s="12"/>
      <c r="D5" s="12"/>
      <c r="E5" s="12"/>
      <c r="F5" s="12"/>
      <c r="G5" s="12"/>
      <c r="H5" s="12"/>
      <c r="I5" s="12"/>
      <c r="J5" s="12"/>
      <c r="K5" s="12"/>
      <c r="L5" s="12"/>
      <c r="M5" s="12"/>
      <c r="N5" s="12"/>
      <c r="O5" s="12"/>
      <c r="P5" s="12"/>
      <c r="Q5" s="12"/>
      <c r="R5" s="12"/>
      <c r="S5" s="12"/>
      <c r="T5" s="12"/>
      <c r="U5" s="12"/>
      <c r="V5" s="12"/>
      <c r="W5" s="12"/>
      <c r="X5" s="12"/>
      <c r="Y5" s="12"/>
      <c r="Z5" s="12"/>
      <c r="AA5" s="12"/>
      <c r="AB5" s="12"/>
      <c r="AC5" s="12"/>
      <c r="AD5" s="12"/>
      <c r="AE5" s="12"/>
      <c r="AF5" s="12"/>
    </row>
    <row r="6" spans="1:32" ht="14.4" customHeight="1" x14ac:dyDescent="0.3">
      <c r="A6" s="12"/>
      <c r="B6" s="12"/>
      <c r="C6" s="12"/>
      <c r="D6" s="12"/>
      <c r="E6" s="12"/>
      <c r="F6" s="12"/>
      <c r="G6" s="12"/>
      <c r="H6" s="12"/>
      <c r="I6" s="12"/>
      <c r="J6" s="12"/>
      <c r="K6" s="12"/>
      <c r="L6" s="12"/>
      <c r="M6" s="12"/>
      <c r="N6" s="12"/>
      <c r="O6" s="12"/>
      <c r="P6" s="12"/>
      <c r="Q6" s="12"/>
      <c r="R6" s="12"/>
      <c r="S6" s="12"/>
      <c r="T6" s="12"/>
      <c r="U6" s="12"/>
      <c r="V6" s="12"/>
      <c r="W6" s="12"/>
      <c r="X6" s="12"/>
      <c r="Y6" s="12"/>
      <c r="Z6" s="12"/>
      <c r="AA6" s="12"/>
      <c r="AB6" s="12"/>
      <c r="AC6" s="12"/>
      <c r="AD6" s="12"/>
      <c r="AE6" s="12"/>
      <c r="AF6" s="12"/>
    </row>
    <row r="7" spans="1:32" ht="14.4" customHeight="1" x14ac:dyDescent="0.3">
      <c r="A7" s="12"/>
      <c r="B7" s="12"/>
      <c r="C7" s="12"/>
      <c r="D7" s="12"/>
      <c r="E7" s="12"/>
      <c r="F7" s="12"/>
      <c r="G7" s="12"/>
      <c r="H7" s="12"/>
      <c r="I7" s="12"/>
      <c r="J7" s="12"/>
      <c r="K7" s="12"/>
      <c r="L7" s="12"/>
      <c r="M7" s="12"/>
      <c r="N7" s="12"/>
      <c r="O7" s="12"/>
      <c r="P7" s="12"/>
      <c r="Q7" s="12"/>
      <c r="R7" s="12"/>
      <c r="S7" s="12"/>
      <c r="T7" s="12"/>
      <c r="U7" s="12"/>
      <c r="V7" s="12"/>
      <c r="W7" s="12"/>
      <c r="X7" s="12"/>
      <c r="Y7" s="12"/>
      <c r="Z7" s="12"/>
      <c r="AA7" s="12"/>
      <c r="AB7" s="12"/>
      <c r="AC7" s="12"/>
      <c r="AD7" s="12"/>
      <c r="AE7" s="12"/>
      <c r="AF7" s="12"/>
    </row>
  </sheetData>
  <mergeCells count="1">
    <mergeCell ref="A1:AF7"/>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Gas Data</vt:lpstr>
      <vt:lpstr>Exploratory Data Analysis</vt:lpstr>
      <vt:lpstr>Gas Production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Opeyemi Adebiyi</cp:lastModifiedBy>
  <dcterms:created xsi:type="dcterms:W3CDTF">2025-09-04T20:35:23Z</dcterms:created>
  <dcterms:modified xsi:type="dcterms:W3CDTF">2025-09-06T12:25:10Z</dcterms:modified>
</cp:coreProperties>
</file>